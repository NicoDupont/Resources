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540" windowWidth="25875" windowHeight="12435"/>
  </bookViews>
  <sheets>
    <sheet name="Date Functions Ex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37" i="1" l="1"/>
  <c r="H43" i="1"/>
  <c r="F42" i="1"/>
  <c r="G40" i="1"/>
  <c r="F40" i="1"/>
  <c r="F38" i="1"/>
  <c r="G38" i="1"/>
  <c r="H41" i="1"/>
  <c r="G37" i="1"/>
  <c r="G42" i="1"/>
  <c r="E41" i="1"/>
  <c r="F39" i="1"/>
  <c r="F37" i="1"/>
  <c r="G43" i="1"/>
  <c r="D42" i="1"/>
  <c r="H42" i="1"/>
  <c r="H38" i="1"/>
  <c r="E38" i="1"/>
  <c r="D40" i="1"/>
  <c r="E40" i="1"/>
  <c r="F41" i="1"/>
  <c r="E37" i="1"/>
  <c r="D43" i="1"/>
  <c r="E42" i="1"/>
  <c r="G41" i="1"/>
  <c r="G39" i="1"/>
  <c r="D39" i="1"/>
  <c r="H40" i="1"/>
  <c r="D41" i="1"/>
  <c r="H37" i="1"/>
  <c r="D37" i="1"/>
  <c r="F43" i="1"/>
  <c r="E43" i="1"/>
  <c r="D38" i="1"/>
  <c r="E39" i="1"/>
  <c r="H39" i="1"/>
  <c r="A24" i="1" l="1"/>
  <c r="AF7" i="1"/>
  <c r="AG13" i="1"/>
  <c r="AG22" i="1"/>
  <c r="AF29" i="1"/>
  <c r="AF16" i="1"/>
  <c r="AG12" i="1"/>
  <c r="AF17" i="1"/>
  <c r="AF31" i="1"/>
  <c r="AG15" i="1"/>
  <c r="AG8" i="1"/>
  <c r="AF26" i="1"/>
  <c r="AG9" i="1"/>
  <c r="AG18" i="1"/>
  <c r="AE25" i="1"/>
  <c r="AE12" i="1"/>
  <c r="AD31" i="1"/>
  <c r="AD4" i="1"/>
  <c r="AC11" i="1"/>
  <c r="AB21" i="1"/>
  <c r="AB15" i="1"/>
  <c r="AE18" i="1"/>
  <c r="AE4" i="1"/>
  <c r="AD14" i="1"/>
  <c r="AC21" i="1"/>
  <c r="AC31" i="1"/>
  <c r="AB27" i="1"/>
  <c r="AB28" i="1"/>
  <c r="AE15" i="1"/>
  <c r="AD21" i="1"/>
  <c r="AD11" i="1"/>
  <c r="AC14" i="1"/>
  <c r="AC28" i="1"/>
  <c r="AB14" i="1"/>
  <c r="AE5" i="1"/>
  <c r="AE19" i="1"/>
  <c r="AD25" i="1"/>
  <c r="AD19" i="1"/>
  <c r="AC18" i="1"/>
  <c r="AC4" i="1"/>
  <c r="AB18" i="1"/>
  <c r="V30" i="1"/>
  <c r="M30" i="1"/>
  <c r="C29" i="1"/>
  <c r="AA9" i="1"/>
  <c r="AA22" i="1"/>
  <c r="Z23" i="1"/>
  <c r="Z4" i="1"/>
  <c r="Y18" i="1"/>
  <c r="S6" i="1"/>
  <c r="L16" i="1"/>
  <c r="T10" i="1"/>
  <c r="T8" i="1"/>
  <c r="G5" i="1"/>
  <c r="C18" i="1"/>
  <c r="I6" i="1"/>
  <c r="N6" i="1"/>
  <c r="U6" i="1"/>
  <c r="U22" i="1"/>
  <c r="W31" i="1"/>
  <c r="V9" i="1"/>
  <c r="V26" i="1"/>
  <c r="W27" i="1"/>
  <c r="W4" i="1"/>
  <c r="H30" i="1"/>
  <c r="R29" i="1"/>
  <c r="L29" i="1"/>
  <c r="AA12" i="1"/>
  <c r="Z9" i="1"/>
  <c r="Z7" i="1"/>
  <c r="Y23" i="1"/>
  <c r="B22" i="1"/>
  <c r="T18" i="1"/>
  <c r="E30" i="1"/>
  <c r="U29" i="1"/>
  <c r="Z31" i="1"/>
  <c r="Y10" i="1"/>
  <c r="Q16" i="1"/>
  <c r="D16" i="1"/>
  <c r="C22" i="1"/>
  <c r="AF9" i="1"/>
  <c r="AF23" i="1"/>
  <c r="AG29" i="1"/>
  <c r="AG19" i="1"/>
  <c r="AF18" i="1"/>
  <c r="AF4" i="1"/>
  <c r="AG10" i="1"/>
  <c r="AF6" i="1"/>
  <c r="AF20" i="1"/>
  <c r="AG20" i="1"/>
  <c r="AF5" i="1"/>
  <c r="AF19" i="1"/>
  <c r="AG25" i="1"/>
  <c r="AG11" i="1"/>
  <c r="AE14" i="1"/>
  <c r="AE30" i="1"/>
  <c r="AD10" i="1"/>
  <c r="AC17" i="1"/>
  <c r="AC27" i="1"/>
  <c r="AB19" i="1"/>
  <c r="AB20" i="1"/>
  <c r="AE11" i="1"/>
  <c r="AD17" i="1"/>
  <c r="AD30" i="1"/>
  <c r="AC10" i="1"/>
  <c r="AC20" i="1"/>
  <c r="AB10" i="1"/>
  <c r="AE17" i="1"/>
  <c r="AE31" i="1"/>
  <c r="AD15" i="1"/>
  <c r="AD16" i="1"/>
  <c r="AC30" i="1"/>
  <c r="AB13" i="1"/>
  <c r="AB30" i="1"/>
  <c r="AE21" i="1"/>
  <c r="AE8" i="1"/>
  <c r="AD23" i="1"/>
  <c r="AD28" i="1"/>
  <c r="AC7" i="1"/>
  <c r="AB17" i="1"/>
  <c r="AB7" i="1"/>
  <c r="K30" i="1"/>
  <c r="W30" i="1"/>
  <c r="S29" i="1"/>
  <c r="AA25" i="1"/>
  <c r="AA23" i="1"/>
  <c r="Z10" i="1"/>
  <c r="Y17" i="1"/>
  <c r="Y11" i="1"/>
  <c r="P6" i="1"/>
  <c r="I18" i="1"/>
  <c r="J18" i="1"/>
  <c r="E18" i="1"/>
  <c r="Q5" i="1"/>
  <c r="N17" i="1"/>
  <c r="B16" i="1"/>
  <c r="T17" i="1"/>
  <c r="U10" i="1"/>
  <c r="U27" i="1"/>
  <c r="X12" i="1"/>
  <c r="V13" i="1"/>
  <c r="W5" i="1"/>
  <c r="X10" i="1"/>
  <c r="J30" i="1"/>
  <c r="X30" i="1"/>
  <c r="I29" i="1"/>
  <c r="M29" i="1"/>
  <c r="AA10" i="1"/>
  <c r="Z25" i="1"/>
  <c r="Z12" i="1"/>
  <c r="Y6" i="1"/>
  <c r="P22" i="1"/>
  <c r="J16" i="1"/>
  <c r="F29" i="1"/>
  <c r="AA11" i="1"/>
  <c r="Z18" i="1"/>
  <c r="Y27" i="1"/>
  <c r="H18" i="1"/>
  <c r="E22" i="1"/>
  <c r="P5" i="1"/>
  <c r="S18" i="1"/>
  <c r="R17" i="1"/>
  <c r="Y4" i="1"/>
  <c r="U26" i="1"/>
  <c r="X22" i="1"/>
  <c r="V23" i="1"/>
  <c r="X8" i="1"/>
  <c r="AA30" i="1"/>
  <c r="D29" i="1"/>
  <c r="AA4" i="1"/>
  <c r="Y31" i="1"/>
  <c r="R6" i="1"/>
  <c r="B6" i="1"/>
  <c r="F17" i="1"/>
  <c r="T25" i="1"/>
  <c r="H6" i="1"/>
  <c r="T31" i="1"/>
  <c r="U16" i="1"/>
  <c r="W26" i="1"/>
  <c r="V14" i="1"/>
  <c r="W15" i="1"/>
  <c r="X4" i="1"/>
  <c r="V29" i="1"/>
  <c r="AA20" i="1"/>
  <c r="Z15" i="1"/>
  <c r="R22" i="1"/>
  <c r="J17" i="1"/>
  <c r="Q6" i="1"/>
  <c r="D6" i="1"/>
  <c r="P17" i="1"/>
  <c r="N22" i="1"/>
  <c r="U7" i="1"/>
  <c r="U31" i="1"/>
  <c r="X28" i="1"/>
  <c r="V27" i="1"/>
  <c r="X13" i="1"/>
  <c r="G30" i="1"/>
  <c r="O29" i="1"/>
  <c r="AA15" i="1"/>
  <c r="Y13" i="1"/>
  <c r="S5" i="1"/>
  <c r="F6" i="1"/>
  <c r="H16" i="1"/>
  <c r="T23" i="1"/>
  <c r="E6" i="1"/>
  <c r="M6" i="1"/>
  <c r="U13" i="1"/>
  <c r="AF25" i="1"/>
  <c r="AG31" i="1"/>
  <c r="AF11" i="1"/>
  <c r="AG26" i="1"/>
  <c r="AG5" i="1"/>
  <c r="AF21" i="1"/>
  <c r="AG23" i="1"/>
  <c r="AE7" i="1"/>
  <c r="AD26" i="1"/>
  <c r="AC16" i="1"/>
  <c r="AE13" i="1"/>
  <c r="AD7" i="1"/>
  <c r="AC26" i="1"/>
  <c r="AB26" i="1"/>
  <c r="AE20" i="1"/>
  <c r="AC9" i="1"/>
  <c r="AB29" i="1"/>
  <c r="AE10" i="1"/>
  <c r="AD6" i="1"/>
  <c r="AC23" i="1"/>
  <c r="AB12" i="1"/>
  <c r="N29" i="1"/>
  <c r="AA27" i="1"/>
  <c r="Z26" i="1"/>
  <c r="Y16" i="1"/>
  <c r="L17" i="1"/>
  <c r="L22" i="1"/>
  <c r="J22" i="1"/>
  <c r="M16" i="1"/>
  <c r="W9" i="1"/>
  <c r="V17" i="1"/>
  <c r="X17" i="1"/>
  <c r="Q30" i="1"/>
  <c r="AA13" i="1"/>
  <c r="Z8" i="1"/>
  <c r="Y22" i="1"/>
  <c r="N30" i="1"/>
  <c r="AA14" i="1"/>
  <c r="F5" i="1"/>
  <c r="J6" i="1"/>
  <c r="P16" i="1"/>
  <c r="B5" i="1"/>
  <c r="U15" i="1"/>
  <c r="X9" i="1"/>
  <c r="V31" i="1"/>
  <c r="X31" i="1"/>
  <c r="Y29" i="1"/>
  <c r="Z11" i="1"/>
  <c r="Y8" i="1"/>
  <c r="T4" i="1"/>
  <c r="S22" i="1"/>
  <c r="O17" i="1"/>
  <c r="O6" i="1"/>
  <c r="U21" i="1"/>
  <c r="X26" i="1"/>
  <c r="W7" i="1"/>
  <c r="C30" i="1"/>
  <c r="P29" i="1"/>
  <c r="Z16" i="1"/>
  <c r="C5" i="1"/>
  <c r="T21" i="1"/>
  <c r="I22" i="1"/>
  <c r="Q22" i="1"/>
  <c r="F16" i="1"/>
  <c r="U23" i="1"/>
  <c r="V10" i="1"/>
  <c r="W17" i="1"/>
  <c r="B30" i="1"/>
  <c r="T29" i="1"/>
  <c r="Z6" i="1"/>
  <c r="M22" i="1"/>
  <c r="R16" i="1"/>
  <c r="G6" i="1"/>
  <c r="Q17" i="1"/>
  <c r="K16" i="1"/>
  <c r="U25" i="1"/>
  <c r="X18" i="1"/>
  <c r="V22" i="1"/>
  <c r="X5" i="1"/>
  <c r="S28" i="1"/>
  <c r="F7" i="1"/>
  <c r="M11" i="1"/>
  <c r="I19" i="1"/>
  <c r="C27" i="1"/>
  <c r="I4" i="1"/>
  <c r="Q21" i="1"/>
  <c r="O10" i="1"/>
  <c r="R7" i="1"/>
  <c r="K20" i="1"/>
  <c r="C15" i="1"/>
  <c r="K4" i="1"/>
  <c r="N28" i="1"/>
  <c r="E9" i="1"/>
  <c r="B19" i="1"/>
  <c r="Q8" i="1"/>
  <c r="Q9" i="1"/>
  <c r="N26" i="1"/>
  <c r="AF12" i="1"/>
  <c r="AG4" i="1"/>
  <c r="AG17" i="1"/>
  <c r="AF22" i="1"/>
  <c r="AG14" i="1"/>
  <c r="AF8" i="1"/>
  <c r="AG16" i="1"/>
  <c r="AD13" i="1"/>
  <c r="AC6" i="1"/>
  <c r="AB6" i="1"/>
  <c r="AE27" i="1"/>
  <c r="AD8" i="1"/>
  <c r="AB9" i="1"/>
  <c r="AE6" i="1"/>
  <c r="AD20" i="1"/>
  <c r="AC19" i="1"/>
  <c r="AB31" i="1"/>
  <c r="AE28" i="1"/>
  <c r="AC13" i="1"/>
  <c r="AB11" i="1"/>
  <c r="D30" i="1"/>
  <c r="H29" i="1"/>
  <c r="Z5" i="1"/>
  <c r="Y15" i="1"/>
  <c r="T19" i="1"/>
  <c r="K17" i="1"/>
  <c r="T12" i="1"/>
  <c r="Q18" i="1"/>
  <c r="U14" i="1"/>
  <c r="X20" i="1"/>
  <c r="W11" i="1"/>
  <c r="Z30" i="1"/>
  <c r="G29" i="1"/>
  <c r="AA26" i="1"/>
  <c r="Y5" i="1"/>
  <c r="E5" i="1"/>
  <c r="Q29" i="1"/>
  <c r="Z20" i="1"/>
  <c r="M17" i="1"/>
  <c r="T5" i="1"/>
  <c r="K5" i="1"/>
  <c r="D18" i="1"/>
  <c r="W12" i="1"/>
  <c r="V12" i="1"/>
  <c r="W23" i="1"/>
  <c r="I30" i="1"/>
  <c r="AA19" i="1"/>
  <c r="Z28" i="1"/>
  <c r="O16" i="1"/>
  <c r="R5" i="1"/>
  <c r="T7" i="1"/>
  <c r="G16" i="1"/>
  <c r="U5" i="1"/>
  <c r="W14" i="1"/>
  <c r="V19" i="1"/>
  <c r="X11" i="1"/>
  <c r="U30" i="1"/>
  <c r="AA7" i="1"/>
  <c r="Y12" i="1"/>
  <c r="B18" i="1"/>
  <c r="E16" i="1"/>
  <c r="N16" i="1"/>
  <c r="I16" i="1"/>
  <c r="U12" i="1"/>
  <c r="X6" i="1"/>
  <c r="V20" i="1"/>
  <c r="X23" i="1"/>
  <c r="Y30" i="1"/>
  <c r="AA28" i="1"/>
  <c r="Y20" i="1"/>
  <c r="R18" i="1"/>
  <c r="H5" i="1"/>
  <c r="S16" i="1"/>
  <c r="O18" i="1"/>
  <c r="U8" i="1"/>
  <c r="W20" i="1"/>
  <c r="V11" i="1"/>
  <c r="W10" i="1"/>
  <c r="X27" i="1"/>
  <c r="Q31" i="1"/>
  <c r="N8" i="1"/>
  <c r="J26" i="1"/>
  <c r="B12" i="1"/>
  <c r="B20" i="1"/>
  <c r="R28" i="1"/>
  <c r="N9" i="1"/>
  <c r="J14" i="1"/>
  <c r="O7" i="1"/>
  <c r="E19" i="1"/>
  <c r="J13" i="1"/>
  <c r="N23" i="1"/>
  <c r="H4" i="1"/>
  <c r="L28" i="1"/>
  <c r="N25" i="1"/>
  <c r="N14" i="1"/>
  <c r="B8" i="1"/>
  <c r="D31" i="1"/>
  <c r="E31" i="1"/>
  <c r="H20" i="1"/>
  <c r="N12" i="1"/>
  <c r="S21" i="1"/>
  <c r="H8" i="1"/>
  <c r="C13" i="1"/>
  <c r="L20" i="1"/>
  <c r="S9" i="1"/>
  <c r="P19" i="1"/>
  <c r="O4" i="1"/>
  <c r="C14" i="1"/>
  <c r="G23" i="1"/>
  <c r="F31" i="1"/>
  <c r="Q14" i="1"/>
  <c r="H9" i="1"/>
  <c r="S10" i="1"/>
  <c r="L12" i="1"/>
  <c r="K11" i="1"/>
  <c r="G28" i="1"/>
  <c r="L21" i="1"/>
  <c r="P12" i="1"/>
  <c r="C11" i="1"/>
  <c r="R26" i="1"/>
  <c r="R31" i="1"/>
  <c r="D19" i="1"/>
  <c r="C9" i="1"/>
  <c r="Q26" i="1"/>
  <c r="G4" i="1"/>
  <c r="F27" i="1"/>
  <c r="Q23" i="1"/>
  <c r="AF14" i="1"/>
  <c r="AF27" i="1"/>
  <c r="AG21" i="1"/>
  <c r="AG28" i="1"/>
  <c r="AD27" i="1"/>
  <c r="AE29" i="1"/>
  <c r="AC15" i="1"/>
  <c r="AD5" i="1"/>
  <c r="AB8" i="1"/>
  <c r="AD22" i="1"/>
  <c r="F30" i="1"/>
  <c r="AA6" i="1"/>
  <c r="O22" i="1"/>
  <c r="J5" i="1"/>
  <c r="I17" i="1"/>
  <c r="V21" i="1"/>
  <c r="B29" i="1"/>
  <c r="Z14" i="1"/>
  <c r="S30" i="1"/>
  <c r="I5" i="1"/>
  <c r="G22" i="1"/>
  <c r="U20" i="1"/>
  <c r="W13" i="1"/>
  <c r="AA5" i="1"/>
  <c r="C6" i="1"/>
  <c r="M5" i="1"/>
  <c r="G18" i="1"/>
  <c r="V8" i="1"/>
  <c r="L30" i="1"/>
  <c r="Y9" i="1"/>
  <c r="B17" i="1"/>
  <c r="T11" i="1"/>
  <c r="W16" i="1"/>
  <c r="W28" i="1"/>
  <c r="AA21" i="1"/>
  <c r="T27" i="1"/>
  <c r="T6" i="1"/>
  <c r="S17" i="1"/>
  <c r="V6" i="1"/>
  <c r="X15" i="1"/>
  <c r="C7" i="1"/>
  <c r="G26" i="1"/>
  <c r="S20" i="1"/>
  <c r="B4" i="1"/>
  <c r="K31" i="1"/>
  <c r="N11" i="1"/>
  <c r="I11" i="1"/>
  <c r="O9" i="1"/>
  <c r="M13" i="1"/>
  <c r="D4" i="1"/>
  <c r="F23" i="1"/>
  <c r="S11" i="1"/>
  <c r="E8" i="1"/>
  <c r="M27" i="1"/>
  <c r="D21" i="1"/>
  <c r="J9" i="1"/>
  <c r="E23" i="1"/>
  <c r="H14" i="1"/>
  <c r="J4" i="1"/>
  <c r="J7" i="1"/>
  <c r="C20" i="1"/>
  <c r="F26" i="1"/>
  <c r="E10" i="1"/>
  <c r="H10" i="1"/>
  <c r="I9" i="1"/>
  <c r="C19" i="1"/>
  <c r="B26" i="1"/>
  <c r="B15" i="1"/>
  <c r="D14" i="1"/>
  <c r="F19" i="1"/>
  <c r="L23" i="1"/>
  <c r="P10" i="1"/>
  <c r="J10" i="1"/>
  <c r="F15" i="1"/>
  <c r="M25" i="1"/>
  <c r="L31" i="1"/>
  <c r="Q28" i="1"/>
  <c r="K8" i="1"/>
  <c r="R13" i="1"/>
  <c r="E15" i="1"/>
  <c r="I13" i="1"/>
  <c r="O19" i="1"/>
  <c r="D15" i="1"/>
  <c r="F4" i="1"/>
  <c r="H27" i="1"/>
  <c r="O8" i="1"/>
  <c r="E14" i="1"/>
  <c r="K23" i="1"/>
  <c r="P21" i="1"/>
  <c r="H28" i="1"/>
  <c r="E4" i="1"/>
  <c r="I23" i="1"/>
  <c r="R25" i="1"/>
  <c r="C21" i="1"/>
  <c r="E20" i="1"/>
  <c r="B27" i="1"/>
  <c r="R8" i="1"/>
  <c r="B7" i="1"/>
  <c r="E26" i="1"/>
  <c r="Q27" i="1"/>
  <c r="D10" i="1"/>
  <c r="G27" i="1"/>
  <c r="J12" i="1"/>
  <c r="R23" i="1"/>
  <c r="O20" i="1"/>
  <c r="I12" i="1"/>
  <c r="I21" i="1"/>
  <c r="J8" i="1"/>
  <c r="B31" i="1"/>
  <c r="AF30" i="1"/>
  <c r="AG7" i="1"/>
  <c r="AG30" i="1"/>
  <c r="AE9" i="1"/>
  <c r="AC22" i="1"/>
  <c r="AE16" i="1"/>
  <c r="AB25" i="1"/>
  <c r="AD18" i="1"/>
  <c r="AB4" i="1"/>
  <c r="AC29" i="1"/>
  <c r="T30" i="1"/>
  <c r="Z21" i="1"/>
  <c r="T16" i="1"/>
  <c r="C16" i="1"/>
  <c r="U18" i="1"/>
  <c r="W19" i="1"/>
  <c r="W29" i="1"/>
  <c r="Y21" i="1"/>
  <c r="AG6" i="1"/>
  <c r="AG27" i="1"/>
  <c r="AF10" i="1"/>
  <c r="AE23" i="1"/>
  <c r="AB5" i="1"/>
  <c r="AD12" i="1"/>
  <c r="AB23" i="1"/>
  <c r="AC25" i="1"/>
  <c r="AE26" i="1"/>
  <c r="AC12" i="1"/>
  <c r="X29" i="1"/>
  <c r="Z27" i="1"/>
  <c r="K6" i="1"/>
  <c r="N5" i="1"/>
  <c r="W18" i="1"/>
  <c r="X25" i="1"/>
  <c r="AA31" i="1"/>
  <c r="Y19" i="1"/>
  <c r="AA16" i="1"/>
  <c r="N18" i="1"/>
  <c r="T15" i="1"/>
  <c r="V7" i="1"/>
  <c r="R30" i="1"/>
  <c r="Z22" i="1"/>
  <c r="P18" i="1"/>
  <c r="D22" i="1"/>
  <c r="U28" i="1"/>
  <c r="W25" i="1"/>
  <c r="AA17" i="1"/>
  <c r="T26" i="1"/>
  <c r="T28" i="1"/>
  <c r="C17" i="1"/>
  <c r="V15" i="1"/>
  <c r="P30" i="1"/>
  <c r="Z19" i="1"/>
  <c r="D17" i="1"/>
  <c r="T13" i="1"/>
  <c r="W6" i="1"/>
  <c r="V28" i="1"/>
  <c r="R14" i="1"/>
  <c r="L19" i="1"/>
  <c r="C12" i="1"/>
  <c r="P28" i="1"/>
  <c r="P31" i="1"/>
  <c r="L26" i="1"/>
  <c r="F20" i="1"/>
  <c r="D11" i="1"/>
  <c r="P4" i="1"/>
  <c r="B14" i="1"/>
  <c r="I27" i="1"/>
  <c r="J31" i="1"/>
  <c r="Q19" i="1"/>
  <c r="O27" i="1"/>
  <c r="J27" i="1"/>
  <c r="R4" i="1"/>
  <c r="M9" i="1"/>
  <c r="B23" i="1"/>
  <c r="I14" i="1"/>
  <c r="R21" i="1"/>
  <c r="O11" i="1"/>
  <c r="D8" i="1"/>
  <c r="J23" i="1"/>
  <c r="C25" i="1"/>
  <c r="D27" i="1"/>
  <c r="L13" i="1"/>
  <c r="P13" i="1"/>
  <c r="G8" i="1"/>
  <c r="R12" i="1"/>
  <c r="H12" i="1"/>
  <c r="G14" i="1"/>
  <c r="R20" i="1"/>
  <c r="H7" i="1"/>
  <c r="G25" i="1"/>
  <c r="L10" i="1"/>
  <c r="L15" i="1"/>
  <c r="S4" i="1"/>
  <c r="L8" i="1"/>
  <c r="G13" i="1"/>
  <c r="D9" i="1"/>
  <c r="K14" i="1"/>
  <c r="C4" i="1"/>
  <c r="M23" i="1"/>
  <c r="E28" i="1"/>
  <c r="E12" i="1"/>
  <c r="G20" i="1"/>
  <c r="S19" i="1"/>
  <c r="H31" i="1"/>
  <c r="F13" i="1"/>
  <c r="F11" i="1"/>
  <c r="R10" i="1"/>
  <c r="K26" i="1"/>
  <c r="N20" i="1"/>
  <c r="M15" i="1"/>
  <c r="I26" i="1"/>
  <c r="Q25" i="1"/>
  <c r="R9" i="1"/>
  <c r="K13" i="1"/>
  <c r="S25" i="1"/>
  <c r="N15" i="1"/>
  <c r="S14" i="1"/>
  <c r="N31" i="1"/>
  <c r="F9" i="1"/>
  <c r="Q11" i="1"/>
  <c r="J21" i="1"/>
  <c r="N7" i="1"/>
  <c r="L14" i="1"/>
  <c r="O25" i="1"/>
  <c r="O13" i="1"/>
  <c r="AF13" i="1"/>
  <c r="AF15" i="1"/>
  <c r="AF28" i="1"/>
  <c r="AD29" i="1"/>
  <c r="AB22" i="1"/>
  <c r="AC5" i="1"/>
  <c r="AE22" i="1"/>
  <c r="AC8" i="1"/>
  <c r="AD9" i="1"/>
  <c r="AB16" i="1"/>
  <c r="E29" i="1"/>
  <c r="Y28" i="1"/>
  <c r="O5" i="1"/>
  <c r="K22" i="1"/>
  <c r="V5" i="1"/>
  <c r="O30" i="1"/>
  <c r="AA8" i="1"/>
  <c r="L5" i="1"/>
  <c r="Y25" i="1"/>
  <c r="T9" i="1"/>
  <c r="U9" i="1"/>
  <c r="V18" i="1"/>
  <c r="J29" i="1"/>
  <c r="AA29" i="1"/>
  <c r="X19" i="1"/>
  <c r="T14" i="1"/>
  <c r="X14" i="1"/>
  <c r="Z13" i="1"/>
  <c r="L18" i="1"/>
  <c r="W8" i="1"/>
  <c r="Y7" i="1"/>
  <c r="H22" i="1"/>
  <c r="W21" i="1"/>
  <c r="J11" i="1"/>
  <c r="K9" i="1"/>
  <c r="B25" i="1"/>
  <c r="S31" i="1"/>
  <c r="K21" i="1"/>
  <c r="H26" i="1"/>
  <c r="B21" i="1"/>
  <c r="Q10" i="1"/>
  <c r="M28" i="1"/>
  <c r="P9" i="1"/>
  <c r="M7" i="1"/>
  <c r="M19" i="1"/>
  <c r="D26" i="1"/>
  <c r="O28" i="1"/>
  <c r="M4" i="1"/>
  <c r="P7" i="1"/>
  <c r="G10" i="1"/>
  <c r="J25" i="1"/>
  <c r="I8" i="1"/>
  <c r="O21" i="1"/>
  <c r="P11" i="1"/>
  <c r="I10" i="1"/>
  <c r="Q13" i="1"/>
  <c r="G11" i="1"/>
  <c r="E25" i="1"/>
  <c r="J15" i="1"/>
  <c r="D7" i="1"/>
  <c r="H19" i="1"/>
  <c r="I25" i="1"/>
  <c r="C28" i="1"/>
  <c r="G21" i="1"/>
  <c r="B10" i="1"/>
  <c r="B11" i="1"/>
  <c r="K27" i="1"/>
  <c r="Q20" i="1"/>
  <c r="D12" i="1"/>
  <c r="S27" i="1"/>
  <c r="K10" i="1"/>
  <c r="O26" i="1"/>
  <c r="R15" i="1"/>
  <c r="C26" i="1"/>
  <c r="I20" i="1"/>
  <c r="S8" i="1"/>
  <c r="E21" i="1"/>
  <c r="E7" i="1"/>
  <c r="F10" i="1"/>
  <c r="M21" i="1"/>
  <c r="N10" i="1"/>
  <c r="W22" i="1"/>
  <c r="H17" i="1"/>
  <c r="Z17" i="1"/>
  <c r="V16" i="1"/>
  <c r="Q7" i="1"/>
  <c r="H25" i="1"/>
  <c r="G19" i="1"/>
  <c r="R19" i="1"/>
  <c r="Q12" i="1"/>
  <c r="N21" i="1"/>
  <c r="D23" i="1"/>
  <c r="I15" i="1"/>
  <c r="P26" i="1"/>
  <c r="F28" i="1"/>
  <c r="P20" i="1"/>
  <c r="P25" i="1"/>
  <c r="I7" i="1"/>
  <c r="B9" i="1"/>
  <c r="L11" i="1"/>
  <c r="C23" i="1"/>
  <c r="M31" i="1"/>
  <c r="D5" i="1"/>
  <c r="AA18" i="1"/>
  <c r="F18" i="1"/>
  <c r="V25" i="1"/>
  <c r="Y26" i="1"/>
  <c r="L6" i="1"/>
  <c r="V4" i="1"/>
  <c r="G17" i="1"/>
  <c r="U19" i="1"/>
  <c r="U4" i="1"/>
  <c r="N19" i="1"/>
  <c r="S7" i="1"/>
  <c r="G15" i="1"/>
  <c r="S12" i="1"/>
  <c r="K7" i="1"/>
  <c r="R11" i="1"/>
  <c r="M12" i="1"/>
  <c r="G9" i="1"/>
  <c r="I31" i="1"/>
  <c r="G7" i="1"/>
  <c r="D13" i="1"/>
  <c r="N13" i="1"/>
  <c r="N4" i="1"/>
  <c r="G12" i="1"/>
  <c r="M20" i="1"/>
  <c r="L9" i="1"/>
  <c r="D25" i="1"/>
  <c r="S15" i="1"/>
  <c r="O12" i="1"/>
  <c r="D28" i="1"/>
  <c r="Q15" i="1"/>
  <c r="F8" i="1"/>
  <c r="C10" i="1"/>
  <c r="B13" i="1"/>
  <c r="H15" i="1"/>
  <c r="B28" i="1"/>
  <c r="J28" i="1"/>
  <c r="K12" i="1"/>
  <c r="I28" i="1"/>
  <c r="L7" i="1"/>
  <c r="K28" i="1"/>
  <c r="M8" i="1"/>
  <c r="L25" i="1"/>
  <c r="S23" i="1"/>
  <c r="T20" i="1"/>
  <c r="Y14" i="1"/>
  <c r="E17" i="1"/>
  <c r="X21" i="1"/>
  <c r="T22" i="1"/>
  <c r="U17" i="1"/>
  <c r="Z29" i="1"/>
  <c r="F22" i="1"/>
  <c r="X7" i="1"/>
  <c r="P27" i="1"/>
  <c r="M26" i="1"/>
  <c r="O23" i="1"/>
  <c r="E11" i="1"/>
  <c r="M14" i="1"/>
  <c r="P14" i="1"/>
  <c r="E13" i="1"/>
  <c r="F14" i="1"/>
  <c r="H23" i="1"/>
  <c r="H21" i="1"/>
  <c r="O15" i="1"/>
  <c r="H11" i="1"/>
  <c r="K15" i="1"/>
  <c r="F21" i="1"/>
  <c r="J19" i="1"/>
  <c r="K25" i="1"/>
  <c r="D20" i="1"/>
  <c r="H13" i="1"/>
  <c r="G31" i="1"/>
  <c r="E27" i="1"/>
  <c r="R27" i="1"/>
  <c r="K18" i="1"/>
  <c r="U11" i="1"/>
  <c r="K29" i="1"/>
  <c r="X16" i="1"/>
  <c r="M18" i="1"/>
  <c r="O31" i="1"/>
  <c r="N27" i="1"/>
  <c r="P23" i="1"/>
  <c r="C8" i="1"/>
  <c r="C31" i="1"/>
  <c r="S13" i="1"/>
  <c r="K19" i="1"/>
  <c r="P15" i="1"/>
  <c r="S26" i="1"/>
  <c r="M10" i="1"/>
  <c r="Q4" i="1"/>
  <c r="L4" i="1"/>
  <c r="O14" i="1"/>
  <c r="P8" i="1"/>
  <c r="F25" i="1"/>
  <c r="L27" i="1"/>
  <c r="J20" i="1"/>
  <c r="F12" i="1"/>
  <c r="S24" i="1"/>
  <c r="C24" i="1"/>
  <c r="AA24" i="1"/>
  <c r="AC24" i="1"/>
  <c r="R24" i="1"/>
  <c r="AG24" i="1"/>
  <c r="L24" i="1"/>
  <c r="P24" i="1"/>
  <c r="H24" i="1"/>
  <c r="AB24" i="1"/>
  <c r="M24" i="1"/>
  <c r="D24" i="1"/>
  <c r="AE24" i="1"/>
  <c r="AD24" i="1"/>
  <c r="Y24" i="1"/>
  <c r="W24" i="1"/>
  <c r="Z24" i="1"/>
  <c r="I24" i="1"/>
  <c r="N24" i="1"/>
  <c r="G24" i="1"/>
  <c r="X24" i="1"/>
  <c r="E24" i="1"/>
  <c r="K24" i="1"/>
  <c r="V24" i="1"/>
  <c r="F24" i="1"/>
  <c r="T24" i="1"/>
  <c r="AF24" i="1"/>
  <c r="O24" i="1"/>
  <c r="B24" i="1"/>
  <c r="Q24" i="1"/>
  <c r="J24" i="1"/>
  <c r="U24" i="1"/>
</calcChain>
</file>

<file path=xl/sharedStrings.xml><?xml version="1.0" encoding="utf-8"?>
<sst xmlns="http://schemas.openxmlformats.org/spreadsheetml/2006/main" count="41" uniqueCount="41">
  <si>
    <t>Date</t>
  </si>
  <si>
    <t>Quarter</t>
  </si>
  <si>
    <t>Month</t>
  </si>
  <si>
    <t>End of the Month</t>
  </si>
  <si>
    <t>Semester</t>
  </si>
  <si>
    <t>Beginning of the month</t>
  </si>
  <si>
    <t>Semester Year</t>
  </si>
  <si>
    <t>Quarter Year</t>
  </si>
  <si>
    <t>Month Year</t>
  </si>
  <si>
    <t>Day of the week</t>
  </si>
  <si>
    <t>num day of the week</t>
  </si>
  <si>
    <t>num week of the year default system</t>
  </si>
  <si>
    <t>num week of the year european system</t>
  </si>
  <si>
    <t>Add Month +</t>
  </si>
  <si>
    <t>Add mont -</t>
  </si>
  <si>
    <t>Add Day +</t>
  </si>
  <si>
    <t>Add Day -</t>
  </si>
  <si>
    <t>Add year +</t>
  </si>
  <si>
    <t>Add year -</t>
  </si>
  <si>
    <t>Working Day</t>
  </si>
  <si>
    <t>Public Holiday</t>
  </si>
  <si>
    <t>Workable Day</t>
  </si>
  <si>
    <t>next working day</t>
  </si>
  <si>
    <t>next workable day</t>
  </si>
  <si>
    <t>previous working day</t>
  </si>
  <si>
    <t>prevous workable day</t>
  </si>
  <si>
    <t>next public holiday</t>
  </si>
  <si>
    <t>first working day of month</t>
  </si>
  <si>
    <t>first workable day of month</t>
  </si>
  <si>
    <t>last working day of month</t>
  </si>
  <si>
    <t>last workable day of month</t>
  </si>
  <si>
    <t>Nb working day in the month</t>
  </si>
  <si>
    <t>Nb workable day in month</t>
  </si>
  <si>
    <t>First date</t>
  </si>
  <si>
    <t>Last date</t>
  </si>
  <si>
    <t>Nb working day</t>
  </si>
  <si>
    <t>Nb workable day</t>
  </si>
  <si>
    <t>date diff year</t>
  </si>
  <si>
    <t>Date Diff day</t>
  </si>
  <si>
    <t>Date diff month</t>
  </si>
  <si>
    <t>Examples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</si>
</sst>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14" fontId="1" fillId="0" borderId="0" xfId="0" applyNumberFormat="1" applyFont="1"/>
    <xf numFmtId="1" fontId="1" fillId="0" borderId="0" xfId="0" applyNumberFormat="1" applyFont="1"/>
    <xf numFmtId="14" fontId="0" fillId="0" borderId="0" xfId="0" applyNumberFormat="1" applyFill="1"/>
    <xf numFmtId="0" fontId="0" fillId="0" borderId="0" xfId="0" applyFill="1"/>
    <xf numFmtId="1" fontId="0" fillId="0" borderId="0" xfId="0" applyNumberFormat="1" applyFill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G44"/>
  <sheetViews>
    <sheetView tabSelected="1" workbookViewId="0">
      <selection activeCell="C2" sqref="C2"/>
    </sheetView>
  </sheetViews>
  <sheetFormatPr baseColWidth="10" defaultRowHeight="15" x14ac:dyDescent="0.25"/>
  <cols>
    <col min="4" max="4" width="14.7109375" bestFit="1" customWidth="1"/>
    <col min="5" max="5" width="15.85546875" bestFit="1" customWidth="1"/>
    <col min="6" max="13" width="28.140625" customWidth="1"/>
    <col min="14" max="19" width="28.140625" style="1" customWidth="1"/>
    <col min="20" max="20" width="28.140625" style="2" customWidth="1"/>
    <col min="21" max="22" width="28.140625" customWidth="1"/>
    <col min="23" max="31" width="28.140625" style="1" customWidth="1"/>
    <col min="32" max="33" width="28.140625" customWidth="1"/>
  </cols>
  <sheetData>
    <row r="1" spans="1:33" ht="18.75" x14ac:dyDescent="0.3">
      <c r="A1" s="12" t="s">
        <v>40</v>
      </c>
    </row>
    <row r="3" spans="1:33" ht="15.75" x14ac:dyDescent="0.25">
      <c r="A3" s="3" t="s">
        <v>0</v>
      </c>
      <c r="B3" s="3" t="s">
        <v>1</v>
      </c>
      <c r="C3" s="3" t="s">
        <v>4</v>
      </c>
      <c r="D3" s="3" t="s">
        <v>7</v>
      </c>
      <c r="E3" s="3" t="s">
        <v>6</v>
      </c>
      <c r="F3" s="3" t="s">
        <v>2</v>
      </c>
      <c r="G3" s="3" t="s">
        <v>8</v>
      </c>
      <c r="H3" s="3" t="s">
        <v>9</v>
      </c>
      <c r="I3" s="3" t="s">
        <v>10</v>
      </c>
      <c r="J3" s="3" t="s">
        <v>12</v>
      </c>
      <c r="K3" s="3" t="s">
        <v>11</v>
      </c>
      <c r="L3" s="3" t="s">
        <v>5</v>
      </c>
      <c r="M3" s="3" t="s">
        <v>3</v>
      </c>
      <c r="N3" s="4" t="s">
        <v>13</v>
      </c>
      <c r="O3" s="4" t="s">
        <v>14</v>
      </c>
      <c r="P3" s="4" t="s">
        <v>15</v>
      </c>
      <c r="Q3" s="4" t="s">
        <v>16</v>
      </c>
      <c r="R3" s="4" t="s">
        <v>17</v>
      </c>
      <c r="S3" s="4" t="s">
        <v>18</v>
      </c>
      <c r="T3" s="5" t="s">
        <v>20</v>
      </c>
      <c r="U3" s="4" t="s">
        <v>19</v>
      </c>
      <c r="V3" s="4" t="s">
        <v>21</v>
      </c>
      <c r="W3" s="4" t="s">
        <v>22</v>
      </c>
      <c r="X3" s="4" t="s">
        <v>23</v>
      </c>
      <c r="Y3" s="4" t="s">
        <v>24</v>
      </c>
      <c r="Z3" s="4" t="s">
        <v>25</v>
      </c>
      <c r="AA3" s="4" t="s">
        <v>26</v>
      </c>
      <c r="AB3" s="4" t="s">
        <v>27</v>
      </c>
      <c r="AC3" s="4" t="s">
        <v>28</v>
      </c>
      <c r="AD3" s="4" t="s">
        <v>29</v>
      </c>
      <c r="AE3" s="4" t="s">
        <v>30</v>
      </c>
      <c r="AF3" s="4" t="s">
        <v>31</v>
      </c>
      <c r="AG3" s="4" t="s">
        <v>32</v>
      </c>
    </row>
    <row r="4" spans="1:33" x14ac:dyDescent="0.25">
      <c r="A4" s="1">
        <v>42795</v>
      </c>
      <c r="B4" t="str">
        <f>Quarter(A4,"FR")</f>
        <v>T1</v>
      </c>
      <c r="C4" t="str">
        <f>SEMESTER(A4)</f>
        <v>S1</v>
      </c>
      <c r="D4" t="str">
        <f>QUARTERYEAR(A4,"FR")</f>
        <v>T1-2017</v>
      </c>
      <c r="E4" t="str">
        <f>SEMESTERYEAR(A4)</f>
        <v>S1-2017</v>
      </c>
      <c r="F4" t="str">
        <f>MONTHTEXT(A4,"FR")</f>
        <v>mars</v>
      </c>
      <c r="G4" t="str">
        <f>MONTHYEAR(A4,"EN")</f>
        <v>march-2017</v>
      </c>
      <c r="H4" t="str">
        <f>DayWeek(A4)</f>
        <v>wednesday</v>
      </c>
      <c r="I4" t="str">
        <f>NumDayWeek(A4)</f>
        <v>3</v>
      </c>
      <c r="J4">
        <f>NumWeekYearEuro(A4)</f>
        <v>9</v>
      </c>
      <c r="K4">
        <f>NumWeekYearDefault(A4)</f>
        <v>9</v>
      </c>
      <c r="L4" s="1">
        <f>BeginMonth(A4)</f>
        <v>42795</v>
      </c>
      <c r="M4" s="1">
        <f>EndMonth(A4)</f>
        <v>42825</v>
      </c>
      <c r="N4" s="1">
        <f>AddMonth(A4,2)</f>
        <v>42856</v>
      </c>
      <c r="O4" s="1">
        <f>AddMonth(A4,-2)</f>
        <v>42736</v>
      </c>
      <c r="P4" s="1">
        <f>AddDay(A4,5)</f>
        <v>42800</v>
      </c>
      <c r="Q4" s="1">
        <f>AddDay(A4,-4)</f>
        <v>42791</v>
      </c>
      <c r="R4" s="1">
        <f>AddYear(A4,1)</f>
        <v>43160</v>
      </c>
      <c r="S4" s="1">
        <f>AddYear(A4,-1)</f>
        <v>42430</v>
      </c>
      <c r="T4" s="2">
        <f>PublicHolidayFr(A4)</f>
        <v>0</v>
      </c>
      <c r="U4">
        <f>WorkingDay(A4)</f>
        <v>1</v>
      </c>
      <c r="V4">
        <f>WorkableDay(A4)</f>
        <v>1</v>
      </c>
      <c r="W4" s="1">
        <f>NextWorkingDay(A4)</f>
        <v>42795</v>
      </c>
      <c r="X4" s="1">
        <f>NextWorkableDay(A4)</f>
        <v>42795</v>
      </c>
      <c r="Y4" s="1">
        <f>PrevWorkingDay(A4)</f>
        <v>42794</v>
      </c>
      <c r="Z4" s="1">
        <f>PrevWorkableDay(A4)</f>
        <v>42794</v>
      </c>
      <c r="AA4" s="1">
        <f>NextPublicHoliday(A4)</f>
        <v>42841</v>
      </c>
      <c r="AB4" s="1">
        <f>FirstWorkingDayMonth(A4)</f>
        <v>42795</v>
      </c>
      <c r="AC4" s="1">
        <f>FirstWorkableDayMonth(A4)</f>
        <v>42795</v>
      </c>
      <c r="AD4" s="1">
        <f>LastWorkingDayMonth(A4)</f>
        <v>42825</v>
      </c>
      <c r="AE4" s="1">
        <f>LastWorkableDayMonth(A4)</f>
        <v>42825</v>
      </c>
      <c r="AF4">
        <f>NumberWorkinDayMonth(A4)</f>
        <v>23</v>
      </c>
      <c r="AG4">
        <f>NumberWorkableDayMonth(A4)</f>
        <v>27</v>
      </c>
    </row>
    <row r="5" spans="1:33" x14ac:dyDescent="0.25">
      <c r="A5" s="1">
        <v>42736</v>
      </c>
      <c r="B5" t="str">
        <f t="shared" ref="B5:B6" si="0">Quarter(A5,"FR")</f>
        <v>T1</v>
      </c>
      <c r="C5" t="str">
        <f t="shared" ref="C5:C6" si="1">SEMESTER(A5)</f>
        <v>S1</v>
      </c>
      <c r="D5" t="str">
        <f t="shared" ref="D5:D6" si="2">QUARTERYEAR(A5,"FR")</f>
        <v>T1-2017</v>
      </c>
      <c r="E5" t="str">
        <f t="shared" ref="E5:E6" si="3">SEMESTERYEAR(A5)</f>
        <v>S1-2017</v>
      </c>
      <c r="F5" t="str">
        <f t="shared" ref="F5:F6" si="4">MONTHTEXT(A5,"FR")</f>
        <v>janvier</v>
      </c>
      <c r="G5" t="str">
        <f t="shared" ref="G5:G6" si="5">MONTHYEAR(A5,"EN")</f>
        <v>january-2017</v>
      </c>
      <c r="H5" t="str">
        <f t="shared" ref="H5:H6" si="6">DayWeek(A5)</f>
        <v>sunday</v>
      </c>
      <c r="I5" t="str">
        <f t="shared" ref="I5:I6" si="7">NumDayWeek(A5)</f>
        <v>7</v>
      </c>
      <c r="J5">
        <f t="shared" ref="J5:J6" si="8">NumWeekYearEuro(A5)</f>
        <v>52</v>
      </c>
      <c r="K5">
        <f t="shared" ref="K5:K6" si="9">NumWeekYearDefault(A5)</f>
        <v>1</v>
      </c>
      <c r="L5" s="1">
        <f t="shared" ref="L5:L6" si="10">BeginMonth(A5)</f>
        <v>42736</v>
      </c>
      <c r="M5" s="1">
        <f t="shared" ref="M5:M6" si="11">EndMonth(A5)</f>
        <v>42766</v>
      </c>
      <c r="N5" s="1">
        <f t="shared" ref="N5:N6" si="12">AddMonth(A5,2)</f>
        <v>42795</v>
      </c>
      <c r="O5" s="1">
        <f t="shared" ref="O5:O6" si="13">AddMonth(A5,-2)</f>
        <v>42675</v>
      </c>
      <c r="P5" s="1">
        <f t="shared" ref="P5:P6" si="14">AddDay(A5,5)</f>
        <v>42741</v>
      </c>
      <c r="Q5" s="1">
        <f t="shared" ref="Q5:Q6" si="15">AddDay(A5,-4)</f>
        <v>42732</v>
      </c>
      <c r="R5" s="1">
        <f t="shared" ref="R5:R6" si="16">AddYear(A5,1)</f>
        <v>43101</v>
      </c>
      <c r="S5" s="1">
        <f t="shared" ref="S5:S6" si="17">AddYear(A5,-1)</f>
        <v>42370</v>
      </c>
      <c r="T5" s="2">
        <f t="shared" ref="T5:T6" si="18">PublicHolidayFr(A5)</f>
        <v>1</v>
      </c>
      <c r="U5">
        <f t="shared" ref="U5:U31" si="19">WorkingDay(A5)</f>
        <v>0</v>
      </c>
      <c r="V5">
        <f t="shared" ref="V5:V31" si="20">WorkableDay(A5)</f>
        <v>0</v>
      </c>
      <c r="W5" s="1">
        <f t="shared" ref="W5:W31" si="21">NextWorkingDay(A5)</f>
        <v>42737</v>
      </c>
      <c r="X5" s="1">
        <f t="shared" ref="X5:X31" si="22">NextWorkableDay(A5)</f>
        <v>42737</v>
      </c>
      <c r="Y5" s="1">
        <f t="shared" ref="Y5:Y31" si="23">PrevWorkingDay(A5)</f>
        <v>42735</v>
      </c>
      <c r="Z5" s="1">
        <f t="shared" ref="Z5:Z31" si="24">PrevWorkableDay(A5)</f>
        <v>42735</v>
      </c>
      <c r="AA5" s="1">
        <f t="shared" ref="AA5:AA31" si="25">NextPublicHoliday(A5)</f>
        <v>42841</v>
      </c>
      <c r="AB5" s="1">
        <f t="shared" ref="AB5:AB31" si="26">FirstWorkingDayMonth(A5)</f>
        <v>42737</v>
      </c>
      <c r="AC5" s="1">
        <f t="shared" ref="AC5:AC31" si="27">FirstWorkableDayMonth(A5)</f>
        <v>42737</v>
      </c>
      <c r="AD5" s="1">
        <f t="shared" ref="AD5:AD31" si="28">LastWorkingDayMonth(A5)</f>
        <v>42766</v>
      </c>
      <c r="AE5" s="1">
        <f t="shared" ref="AE5:AE31" si="29">LastWorkableDayMonth(A5)</f>
        <v>42766</v>
      </c>
      <c r="AF5">
        <f t="shared" ref="AF5:AF31" si="30">NumberWorkinDayMonth(A5)</f>
        <v>22</v>
      </c>
      <c r="AG5">
        <f t="shared" ref="AG5:AG31" si="31">NumberWorkableDayMonth(A5)</f>
        <v>26</v>
      </c>
    </row>
    <row r="6" spans="1:33" x14ac:dyDescent="0.25">
      <c r="A6" s="1">
        <v>42735</v>
      </c>
      <c r="B6" t="str">
        <f t="shared" si="0"/>
        <v>T4</v>
      </c>
      <c r="C6" t="str">
        <f t="shared" si="1"/>
        <v>S2</v>
      </c>
      <c r="D6" t="str">
        <f t="shared" si="2"/>
        <v>T4-2016</v>
      </c>
      <c r="E6" t="str">
        <f t="shared" si="3"/>
        <v>S2-2016</v>
      </c>
      <c r="F6" t="str">
        <f t="shared" si="4"/>
        <v>décembre</v>
      </c>
      <c r="G6" t="str">
        <f t="shared" si="5"/>
        <v>december-2016</v>
      </c>
      <c r="H6" t="str">
        <f t="shared" si="6"/>
        <v>saturday</v>
      </c>
      <c r="I6" t="str">
        <f t="shared" si="7"/>
        <v>6</v>
      </c>
      <c r="J6">
        <f t="shared" si="8"/>
        <v>52</v>
      </c>
      <c r="K6">
        <f t="shared" si="9"/>
        <v>53</v>
      </c>
      <c r="L6" s="1">
        <f t="shared" si="10"/>
        <v>42705</v>
      </c>
      <c r="M6" s="1">
        <f t="shared" si="11"/>
        <v>42735</v>
      </c>
      <c r="N6" s="1">
        <f t="shared" si="12"/>
        <v>42794</v>
      </c>
      <c r="O6" s="1">
        <f t="shared" si="13"/>
        <v>42674</v>
      </c>
      <c r="P6" s="1">
        <f t="shared" si="14"/>
        <v>42740</v>
      </c>
      <c r="Q6" s="1">
        <f t="shared" si="15"/>
        <v>42731</v>
      </c>
      <c r="R6" s="1">
        <f t="shared" si="16"/>
        <v>43100</v>
      </c>
      <c r="S6" s="1">
        <f t="shared" si="17"/>
        <v>42369</v>
      </c>
      <c r="T6" s="2">
        <f t="shared" si="18"/>
        <v>0</v>
      </c>
      <c r="U6">
        <f t="shared" si="19"/>
        <v>0</v>
      </c>
      <c r="V6">
        <f t="shared" si="20"/>
        <v>1</v>
      </c>
      <c r="W6" s="1">
        <f t="shared" si="21"/>
        <v>42737</v>
      </c>
      <c r="X6" s="1">
        <f t="shared" si="22"/>
        <v>42735</v>
      </c>
      <c r="Y6" s="1">
        <f t="shared" si="23"/>
        <v>42734</v>
      </c>
      <c r="Z6" s="1">
        <f t="shared" si="24"/>
        <v>42734</v>
      </c>
      <c r="AA6" s="1">
        <f t="shared" si="25"/>
        <v>42736</v>
      </c>
      <c r="AB6" s="1">
        <f t="shared" si="26"/>
        <v>42705</v>
      </c>
      <c r="AC6" s="1">
        <f t="shared" si="27"/>
        <v>42705</v>
      </c>
      <c r="AD6" s="1">
        <f t="shared" si="28"/>
        <v>42734</v>
      </c>
      <c r="AE6" s="1">
        <f t="shared" si="29"/>
        <v>42735</v>
      </c>
      <c r="AF6">
        <f t="shared" si="30"/>
        <v>22</v>
      </c>
      <c r="AG6">
        <f t="shared" si="31"/>
        <v>27</v>
      </c>
    </row>
    <row r="7" spans="1:33" x14ac:dyDescent="0.25">
      <c r="A7" s="1">
        <v>42767</v>
      </c>
      <c r="B7" t="str">
        <f t="shared" ref="B7:B9" si="32">Quarter(A7,"FR")</f>
        <v>T1</v>
      </c>
      <c r="C7" t="str">
        <f t="shared" ref="C7:C9" si="33">SEMESTER(A7)</f>
        <v>S1</v>
      </c>
      <c r="D7" t="str">
        <f t="shared" ref="D7:D9" si="34">QUARTERYEAR(A7,"FR")</f>
        <v>T1-2017</v>
      </c>
      <c r="E7" t="str">
        <f t="shared" ref="E7:E9" si="35">SEMESTERYEAR(A7)</f>
        <v>S1-2017</v>
      </c>
      <c r="F7" t="str">
        <f t="shared" ref="F7:F9" si="36">MONTHTEXT(A7,"FR")</f>
        <v>février</v>
      </c>
      <c r="G7" t="str">
        <f t="shared" ref="G7:G9" si="37">MONTHYEAR(A7,"EN")</f>
        <v>february-2017</v>
      </c>
      <c r="H7" t="str">
        <f t="shared" ref="H7:H9" si="38">DayWeek(A7)</f>
        <v>wednesday</v>
      </c>
      <c r="I7" t="str">
        <f t="shared" ref="I7:I9" si="39">NumDayWeek(A7)</f>
        <v>3</v>
      </c>
      <c r="J7">
        <f t="shared" ref="J7:J9" si="40">NumWeekYearEuro(A7)</f>
        <v>5</v>
      </c>
      <c r="K7">
        <f t="shared" ref="K7:K9" si="41">NumWeekYearDefault(A7)</f>
        <v>5</v>
      </c>
      <c r="L7" s="1">
        <f t="shared" ref="L7:L9" si="42">BeginMonth(A7)</f>
        <v>42767</v>
      </c>
      <c r="M7" s="1">
        <f t="shared" ref="M7:M9" si="43">EndMonth(A7)</f>
        <v>42794</v>
      </c>
      <c r="N7" s="1">
        <f t="shared" ref="N7:N9" si="44">AddMonth(A7,2)</f>
        <v>42826</v>
      </c>
      <c r="O7" s="1">
        <f t="shared" ref="O7:O9" si="45">AddMonth(A7,-2)</f>
        <v>42705</v>
      </c>
      <c r="P7" s="1">
        <f t="shared" ref="P7:P31" si="46">AddDay(A7,5)</f>
        <v>42772</v>
      </c>
      <c r="Q7" s="1">
        <f t="shared" ref="Q7:Q31" si="47">AddDay(A7,-4)</f>
        <v>42763</v>
      </c>
      <c r="R7" s="1">
        <f t="shared" ref="R7:R31" si="48">AddYear(A7,1)</f>
        <v>43132</v>
      </c>
      <c r="S7" s="1">
        <f t="shared" ref="S7:S31" si="49">AddYear(A7,-1)</f>
        <v>42401</v>
      </c>
      <c r="T7" s="2">
        <f t="shared" ref="T7:T31" si="50">PublicHolidayFr(A7)</f>
        <v>0</v>
      </c>
      <c r="U7">
        <f t="shared" si="19"/>
        <v>1</v>
      </c>
      <c r="V7">
        <f t="shared" si="20"/>
        <v>1</v>
      </c>
      <c r="W7" s="1">
        <f t="shared" si="21"/>
        <v>42767</v>
      </c>
      <c r="X7" s="1">
        <f t="shared" si="22"/>
        <v>42767</v>
      </c>
      <c r="Y7" s="1">
        <f t="shared" si="23"/>
        <v>42766</v>
      </c>
      <c r="Z7" s="1">
        <f t="shared" si="24"/>
        <v>42766</v>
      </c>
      <c r="AA7" s="1">
        <f t="shared" si="25"/>
        <v>42841</v>
      </c>
      <c r="AB7" s="1">
        <f t="shared" si="26"/>
        <v>42767</v>
      </c>
      <c r="AC7" s="1">
        <f t="shared" si="27"/>
        <v>42767</v>
      </c>
      <c r="AD7" s="1">
        <f t="shared" si="28"/>
        <v>42794</v>
      </c>
      <c r="AE7" s="1">
        <f t="shared" si="29"/>
        <v>42794</v>
      </c>
      <c r="AF7">
        <f t="shared" si="30"/>
        <v>20</v>
      </c>
      <c r="AG7">
        <f t="shared" si="31"/>
        <v>24</v>
      </c>
    </row>
    <row r="8" spans="1:33" x14ac:dyDescent="0.25">
      <c r="A8" s="1">
        <v>42778</v>
      </c>
      <c r="B8" t="str">
        <f t="shared" si="32"/>
        <v>T1</v>
      </c>
      <c r="C8" t="str">
        <f t="shared" si="33"/>
        <v>S1</v>
      </c>
      <c r="D8" t="str">
        <f t="shared" si="34"/>
        <v>T1-2017</v>
      </c>
      <c r="E8" t="str">
        <f t="shared" si="35"/>
        <v>S1-2017</v>
      </c>
      <c r="F8" t="str">
        <f t="shared" si="36"/>
        <v>février</v>
      </c>
      <c r="G8" t="str">
        <f t="shared" si="37"/>
        <v>february-2017</v>
      </c>
      <c r="H8" t="str">
        <f t="shared" si="38"/>
        <v>sunday</v>
      </c>
      <c r="I8" t="str">
        <f t="shared" si="39"/>
        <v>7</v>
      </c>
      <c r="J8">
        <f t="shared" si="40"/>
        <v>6</v>
      </c>
      <c r="K8">
        <f t="shared" si="41"/>
        <v>7</v>
      </c>
      <c r="L8" s="1">
        <f t="shared" si="42"/>
        <v>42767</v>
      </c>
      <c r="M8" s="1">
        <f t="shared" si="43"/>
        <v>42794</v>
      </c>
      <c r="N8" s="1">
        <f t="shared" si="44"/>
        <v>42837</v>
      </c>
      <c r="O8" s="1">
        <f t="shared" si="45"/>
        <v>42716</v>
      </c>
      <c r="P8" s="1">
        <f t="shared" si="46"/>
        <v>42783</v>
      </c>
      <c r="Q8" s="1">
        <f t="shared" si="47"/>
        <v>42774</v>
      </c>
      <c r="R8" s="1">
        <f t="shared" si="48"/>
        <v>43143</v>
      </c>
      <c r="S8" s="1">
        <f t="shared" si="49"/>
        <v>42412</v>
      </c>
      <c r="T8" s="2">
        <f t="shared" si="50"/>
        <v>0</v>
      </c>
      <c r="U8">
        <f t="shared" si="19"/>
        <v>0</v>
      </c>
      <c r="V8">
        <f t="shared" si="20"/>
        <v>0</v>
      </c>
      <c r="W8" s="1">
        <f t="shared" si="21"/>
        <v>42779</v>
      </c>
      <c r="X8" s="1">
        <f t="shared" si="22"/>
        <v>42779</v>
      </c>
      <c r="Y8" s="1">
        <f t="shared" si="23"/>
        <v>42777</v>
      </c>
      <c r="Z8" s="1">
        <f t="shared" si="24"/>
        <v>42777</v>
      </c>
      <c r="AA8" s="1">
        <f t="shared" si="25"/>
        <v>42841</v>
      </c>
      <c r="AB8" s="1">
        <f t="shared" si="26"/>
        <v>42767</v>
      </c>
      <c r="AC8" s="1">
        <f t="shared" si="27"/>
        <v>42767</v>
      </c>
      <c r="AD8" s="1">
        <f t="shared" si="28"/>
        <v>42794</v>
      </c>
      <c r="AE8" s="1">
        <f t="shared" si="29"/>
        <v>42794</v>
      </c>
      <c r="AF8">
        <f t="shared" si="30"/>
        <v>20</v>
      </c>
      <c r="AG8">
        <f t="shared" si="31"/>
        <v>24</v>
      </c>
    </row>
    <row r="9" spans="1:33" x14ac:dyDescent="0.25">
      <c r="A9" s="1">
        <v>42737</v>
      </c>
      <c r="B9" t="str">
        <f t="shared" si="32"/>
        <v>T1</v>
      </c>
      <c r="C9" t="str">
        <f t="shared" si="33"/>
        <v>S1</v>
      </c>
      <c r="D9" t="str">
        <f t="shared" si="34"/>
        <v>T1-2017</v>
      </c>
      <c r="E9" t="str">
        <f t="shared" si="35"/>
        <v>S1-2017</v>
      </c>
      <c r="F9" t="str">
        <f t="shared" si="36"/>
        <v>janvier</v>
      </c>
      <c r="G9" t="str">
        <f t="shared" si="37"/>
        <v>january-2017</v>
      </c>
      <c r="H9" t="str">
        <f t="shared" si="38"/>
        <v>monday</v>
      </c>
      <c r="I9" t="str">
        <f t="shared" si="39"/>
        <v>1</v>
      </c>
      <c r="J9">
        <f t="shared" si="40"/>
        <v>1</v>
      </c>
      <c r="K9">
        <f t="shared" si="41"/>
        <v>1</v>
      </c>
      <c r="L9" s="1">
        <f t="shared" si="42"/>
        <v>42736</v>
      </c>
      <c r="M9" s="1">
        <f t="shared" si="43"/>
        <v>42766</v>
      </c>
      <c r="N9" s="1">
        <f t="shared" si="44"/>
        <v>42796</v>
      </c>
      <c r="O9" s="1">
        <f t="shared" si="45"/>
        <v>42676</v>
      </c>
      <c r="P9" s="1">
        <f t="shared" si="46"/>
        <v>42742</v>
      </c>
      <c r="Q9" s="1">
        <f t="shared" si="47"/>
        <v>42733</v>
      </c>
      <c r="R9" s="1">
        <f t="shared" si="48"/>
        <v>43102</v>
      </c>
      <c r="S9" s="1">
        <f t="shared" si="49"/>
        <v>42371</v>
      </c>
      <c r="T9" s="2">
        <f t="shared" si="50"/>
        <v>0</v>
      </c>
      <c r="U9">
        <f t="shared" si="19"/>
        <v>1</v>
      </c>
      <c r="V9">
        <f t="shared" si="20"/>
        <v>1</v>
      </c>
      <c r="W9" s="1">
        <f t="shared" si="21"/>
        <v>42737</v>
      </c>
      <c r="X9" s="1">
        <f t="shared" si="22"/>
        <v>42737</v>
      </c>
      <c r="Y9" s="1">
        <f t="shared" si="23"/>
        <v>42735</v>
      </c>
      <c r="Z9" s="1">
        <f t="shared" si="24"/>
        <v>42735</v>
      </c>
      <c r="AA9" s="1">
        <f t="shared" si="25"/>
        <v>42841</v>
      </c>
      <c r="AB9" s="1">
        <f t="shared" si="26"/>
        <v>42737</v>
      </c>
      <c r="AC9" s="1">
        <f t="shared" si="27"/>
        <v>42737</v>
      </c>
      <c r="AD9" s="1">
        <f t="shared" si="28"/>
        <v>42766</v>
      </c>
      <c r="AE9" s="1">
        <f t="shared" si="29"/>
        <v>42766</v>
      </c>
      <c r="AF9">
        <f t="shared" si="30"/>
        <v>22</v>
      </c>
      <c r="AG9">
        <f t="shared" si="31"/>
        <v>26</v>
      </c>
    </row>
    <row r="10" spans="1:33" x14ac:dyDescent="0.25">
      <c r="A10" s="1">
        <v>42796</v>
      </c>
      <c r="B10" t="str">
        <f t="shared" ref="B10:B31" si="51">Quarter(A10,"FR")</f>
        <v>T1</v>
      </c>
      <c r="C10" t="str">
        <f t="shared" ref="C10:C31" si="52">SEMESTER(A10)</f>
        <v>S1</v>
      </c>
      <c r="D10" t="str">
        <f t="shared" ref="D10:D31" si="53">QUARTERYEAR(A10,"FR")</f>
        <v>T1-2017</v>
      </c>
      <c r="E10" t="str">
        <f t="shared" ref="E10:E31" si="54">SEMESTERYEAR(A10)</f>
        <v>S1-2017</v>
      </c>
      <c r="F10" t="str">
        <f t="shared" ref="F10:F31" si="55">MONTHTEXT(A10,"FR")</f>
        <v>mars</v>
      </c>
      <c r="G10" t="str">
        <f t="shared" ref="G10:G31" si="56">MONTHYEAR(A10,"EN")</f>
        <v>march-2017</v>
      </c>
      <c r="H10" t="str">
        <f t="shared" ref="H10:H31" si="57">DayWeek(A10)</f>
        <v>thursday</v>
      </c>
      <c r="I10" t="str">
        <f t="shared" ref="I10:I31" si="58">NumDayWeek(A10)</f>
        <v>4</v>
      </c>
      <c r="J10">
        <f t="shared" ref="J10:J31" si="59">NumWeekYearEuro(A10)</f>
        <v>9</v>
      </c>
      <c r="K10">
        <f t="shared" ref="K10:K31" si="60">NumWeekYearDefault(A10)</f>
        <v>9</v>
      </c>
      <c r="L10" s="1">
        <f t="shared" ref="L10:L31" si="61">BeginMonth(A10)</f>
        <v>42795</v>
      </c>
      <c r="M10" s="1">
        <f t="shared" ref="M10:M31" si="62">EndMonth(A10)</f>
        <v>42825</v>
      </c>
      <c r="N10" s="1">
        <f t="shared" ref="N10:N31" si="63">AddMonth(A10,2)</f>
        <v>42857</v>
      </c>
      <c r="O10" s="1">
        <f t="shared" ref="O10:O31" si="64">AddMonth(A10,-2)</f>
        <v>42737</v>
      </c>
      <c r="P10" s="1">
        <f t="shared" si="46"/>
        <v>42801</v>
      </c>
      <c r="Q10" s="1">
        <f t="shared" si="47"/>
        <v>42792</v>
      </c>
      <c r="R10" s="1">
        <f t="shared" si="48"/>
        <v>43161</v>
      </c>
      <c r="S10" s="1">
        <f t="shared" si="49"/>
        <v>42431</v>
      </c>
      <c r="T10" s="2">
        <f t="shared" si="50"/>
        <v>0</v>
      </c>
      <c r="U10">
        <f t="shared" si="19"/>
        <v>1</v>
      </c>
      <c r="V10">
        <f t="shared" si="20"/>
        <v>1</v>
      </c>
      <c r="W10" s="1">
        <f t="shared" si="21"/>
        <v>42796</v>
      </c>
      <c r="X10" s="1">
        <f t="shared" si="22"/>
        <v>42796</v>
      </c>
      <c r="Y10" s="1">
        <f t="shared" si="23"/>
        <v>42795</v>
      </c>
      <c r="Z10" s="1">
        <f t="shared" si="24"/>
        <v>42795</v>
      </c>
      <c r="AA10" s="1">
        <f t="shared" si="25"/>
        <v>42841</v>
      </c>
      <c r="AB10" s="1">
        <f t="shared" si="26"/>
        <v>42795</v>
      </c>
      <c r="AC10" s="1">
        <f t="shared" si="27"/>
        <v>42795</v>
      </c>
      <c r="AD10" s="1">
        <f t="shared" si="28"/>
        <v>42825</v>
      </c>
      <c r="AE10" s="1">
        <f t="shared" si="29"/>
        <v>42825</v>
      </c>
      <c r="AF10">
        <f t="shared" si="30"/>
        <v>23</v>
      </c>
      <c r="AG10">
        <f t="shared" si="31"/>
        <v>27</v>
      </c>
    </row>
    <row r="11" spans="1:33" x14ac:dyDescent="0.25">
      <c r="A11" s="1">
        <v>42797</v>
      </c>
      <c r="B11" t="str">
        <f t="shared" si="51"/>
        <v>T1</v>
      </c>
      <c r="C11" t="str">
        <f t="shared" si="52"/>
        <v>S1</v>
      </c>
      <c r="D11" t="str">
        <f t="shared" si="53"/>
        <v>T1-2017</v>
      </c>
      <c r="E11" t="str">
        <f t="shared" si="54"/>
        <v>S1-2017</v>
      </c>
      <c r="F11" t="str">
        <f t="shared" si="55"/>
        <v>mars</v>
      </c>
      <c r="G11" t="str">
        <f t="shared" si="56"/>
        <v>march-2017</v>
      </c>
      <c r="H11" t="str">
        <f t="shared" si="57"/>
        <v>friday</v>
      </c>
      <c r="I11" t="str">
        <f t="shared" si="58"/>
        <v>5</v>
      </c>
      <c r="J11">
        <f t="shared" si="59"/>
        <v>9</v>
      </c>
      <c r="K11">
        <f t="shared" si="60"/>
        <v>9</v>
      </c>
      <c r="L11" s="1">
        <f t="shared" si="61"/>
        <v>42795</v>
      </c>
      <c r="M11" s="1">
        <f t="shared" si="62"/>
        <v>42825</v>
      </c>
      <c r="N11" s="1">
        <f t="shared" si="63"/>
        <v>42858</v>
      </c>
      <c r="O11" s="1">
        <f t="shared" si="64"/>
        <v>42738</v>
      </c>
      <c r="P11" s="1">
        <f t="shared" si="46"/>
        <v>42802</v>
      </c>
      <c r="Q11" s="1">
        <f t="shared" si="47"/>
        <v>42793</v>
      </c>
      <c r="R11" s="1">
        <f t="shared" si="48"/>
        <v>43162</v>
      </c>
      <c r="S11" s="1">
        <f t="shared" si="49"/>
        <v>42432</v>
      </c>
      <c r="T11" s="2">
        <f t="shared" si="50"/>
        <v>0</v>
      </c>
      <c r="U11">
        <f t="shared" si="19"/>
        <v>1</v>
      </c>
      <c r="V11">
        <f t="shared" si="20"/>
        <v>1</v>
      </c>
      <c r="W11" s="1">
        <f t="shared" si="21"/>
        <v>42797</v>
      </c>
      <c r="X11" s="1">
        <f t="shared" si="22"/>
        <v>42797</v>
      </c>
      <c r="Y11" s="1">
        <f t="shared" si="23"/>
        <v>42796</v>
      </c>
      <c r="Z11" s="1">
        <f t="shared" si="24"/>
        <v>42796</v>
      </c>
      <c r="AA11" s="1">
        <f t="shared" si="25"/>
        <v>42841</v>
      </c>
      <c r="AB11" s="1">
        <f t="shared" si="26"/>
        <v>42795</v>
      </c>
      <c r="AC11" s="1">
        <f t="shared" si="27"/>
        <v>42795</v>
      </c>
      <c r="AD11" s="1">
        <f t="shared" si="28"/>
        <v>42825</v>
      </c>
      <c r="AE11" s="1">
        <f t="shared" si="29"/>
        <v>42825</v>
      </c>
      <c r="AF11">
        <f t="shared" si="30"/>
        <v>23</v>
      </c>
      <c r="AG11">
        <f t="shared" si="31"/>
        <v>27</v>
      </c>
    </row>
    <row r="12" spans="1:33" x14ac:dyDescent="0.25">
      <c r="A12" s="1">
        <v>42798</v>
      </c>
      <c r="B12" t="str">
        <f t="shared" si="51"/>
        <v>T1</v>
      </c>
      <c r="C12" t="str">
        <f t="shared" si="52"/>
        <v>S1</v>
      </c>
      <c r="D12" t="str">
        <f t="shared" si="53"/>
        <v>T1-2017</v>
      </c>
      <c r="E12" t="str">
        <f t="shared" si="54"/>
        <v>S1-2017</v>
      </c>
      <c r="F12" t="str">
        <f t="shared" si="55"/>
        <v>mars</v>
      </c>
      <c r="G12" t="str">
        <f t="shared" si="56"/>
        <v>march-2017</v>
      </c>
      <c r="H12" t="str">
        <f t="shared" si="57"/>
        <v>saturday</v>
      </c>
      <c r="I12" t="str">
        <f t="shared" si="58"/>
        <v>6</v>
      </c>
      <c r="J12">
        <f t="shared" si="59"/>
        <v>9</v>
      </c>
      <c r="K12">
        <f t="shared" si="60"/>
        <v>9</v>
      </c>
      <c r="L12" s="1">
        <f t="shared" si="61"/>
        <v>42795</v>
      </c>
      <c r="M12" s="1">
        <f t="shared" si="62"/>
        <v>42825</v>
      </c>
      <c r="N12" s="1">
        <f t="shared" si="63"/>
        <v>42859</v>
      </c>
      <c r="O12" s="1">
        <f t="shared" si="64"/>
        <v>42739</v>
      </c>
      <c r="P12" s="1">
        <f t="shared" si="46"/>
        <v>42803</v>
      </c>
      <c r="Q12" s="1">
        <f t="shared" si="47"/>
        <v>42794</v>
      </c>
      <c r="R12" s="1">
        <f t="shared" si="48"/>
        <v>43163</v>
      </c>
      <c r="S12" s="1">
        <f t="shared" si="49"/>
        <v>42433</v>
      </c>
      <c r="T12" s="2">
        <f t="shared" si="50"/>
        <v>0</v>
      </c>
      <c r="U12">
        <f t="shared" si="19"/>
        <v>0</v>
      </c>
      <c r="V12">
        <f t="shared" si="20"/>
        <v>1</v>
      </c>
      <c r="W12" s="1">
        <f t="shared" si="21"/>
        <v>42800</v>
      </c>
      <c r="X12" s="1">
        <f t="shared" si="22"/>
        <v>42798</v>
      </c>
      <c r="Y12" s="1">
        <f t="shared" si="23"/>
        <v>42797</v>
      </c>
      <c r="Z12" s="1">
        <f t="shared" si="24"/>
        <v>42797</v>
      </c>
      <c r="AA12" s="1">
        <f t="shared" si="25"/>
        <v>42841</v>
      </c>
      <c r="AB12" s="1">
        <f t="shared" si="26"/>
        <v>42795</v>
      </c>
      <c r="AC12" s="1">
        <f t="shared" si="27"/>
        <v>42795</v>
      </c>
      <c r="AD12" s="1">
        <f t="shared" si="28"/>
        <v>42825</v>
      </c>
      <c r="AE12" s="1">
        <f t="shared" si="29"/>
        <v>42825</v>
      </c>
      <c r="AF12">
        <f t="shared" si="30"/>
        <v>23</v>
      </c>
      <c r="AG12">
        <f t="shared" si="31"/>
        <v>27</v>
      </c>
    </row>
    <row r="13" spans="1:33" x14ac:dyDescent="0.25">
      <c r="A13" s="1">
        <v>42794</v>
      </c>
      <c r="B13" t="str">
        <f t="shared" si="51"/>
        <v>T1</v>
      </c>
      <c r="C13" t="str">
        <f t="shared" si="52"/>
        <v>S1</v>
      </c>
      <c r="D13" t="str">
        <f t="shared" si="53"/>
        <v>T1-2017</v>
      </c>
      <c r="E13" t="str">
        <f t="shared" si="54"/>
        <v>S1-2017</v>
      </c>
      <c r="F13" t="str">
        <f t="shared" si="55"/>
        <v>février</v>
      </c>
      <c r="G13" t="str">
        <f t="shared" si="56"/>
        <v>february-2017</v>
      </c>
      <c r="H13" t="str">
        <f t="shared" si="57"/>
        <v>tuesday</v>
      </c>
      <c r="I13" t="str">
        <f t="shared" si="58"/>
        <v>2</v>
      </c>
      <c r="J13">
        <f t="shared" si="59"/>
        <v>9</v>
      </c>
      <c r="K13">
        <f t="shared" si="60"/>
        <v>9</v>
      </c>
      <c r="L13" s="1">
        <f t="shared" si="61"/>
        <v>42767</v>
      </c>
      <c r="M13" s="1">
        <f t="shared" si="62"/>
        <v>42794</v>
      </c>
      <c r="N13" s="1">
        <f t="shared" si="63"/>
        <v>42853</v>
      </c>
      <c r="O13" s="1">
        <f t="shared" si="64"/>
        <v>42732</v>
      </c>
      <c r="P13" s="1">
        <f t="shared" si="46"/>
        <v>42799</v>
      </c>
      <c r="Q13" s="1">
        <f t="shared" si="47"/>
        <v>42790</v>
      </c>
      <c r="R13" s="1">
        <f t="shared" si="48"/>
        <v>43159</v>
      </c>
      <c r="S13" s="1">
        <f t="shared" si="49"/>
        <v>42428</v>
      </c>
      <c r="T13" s="2">
        <f t="shared" si="50"/>
        <v>0</v>
      </c>
      <c r="U13">
        <f t="shared" si="19"/>
        <v>1</v>
      </c>
      <c r="V13">
        <f t="shared" si="20"/>
        <v>1</v>
      </c>
      <c r="W13" s="1">
        <f t="shared" si="21"/>
        <v>42794</v>
      </c>
      <c r="X13" s="1">
        <f t="shared" si="22"/>
        <v>42794</v>
      </c>
      <c r="Y13" s="1">
        <f t="shared" si="23"/>
        <v>42793</v>
      </c>
      <c r="Z13" s="1">
        <f t="shared" si="24"/>
        <v>42793</v>
      </c>
      <c r="AA13" s="1">
        <f t="shared" si="25"/>
        <v>42841</v>
      </c>
      <c r="AB13" s="1">
        <f t="shared" si="26"/>
        <v>42767</v>
      </c>
      <c r="AC13" s="1">
        <f t="shared" si="27"/>
        <v>42767</v>
      </c>
      <c r="AD13" s="1">
        <f t="shared" si="28"/>
        <v>42794</v>
      </c>
      <c r="AE13" s="1">
        <f t="shared" si="29"/>
        <v>42794</v>
      </c>
      <c r="AF13">
        <f t="shared" si="30"/>
        <v>20</v>
      </c>
      <c r="AG13">
        <f t="shared" si="31"/>
        <v>24</v>
      </c>
    </row>
    <row r="14" spans="1:33" x14ac:dyDescent="0.25">
      <c r="A14" s="1">
        <v>42809</v>
      </c>
      <c r="B14" t="str">
        <f t="shared" si="51"/>
        <v>T1</v>
      </c>
      <c r="C14" t="str">
        <f t="shared" si="52"/>
        <v>S1</v>
      </c>
      <c r="D14" t="str">
        <f t="shared" si="53"/>
        <v>T1-2017</v>
      </c>
      <c r="E14" t="str">
        <f t="shared" si="54"/>
        <v>S1-2017</v>
      </c>
      <c r="F14" t="str">
        <f t="shared" si="55"/>
        <v>mars</v>
      </c>
      <c r="G14" t="str">
        <f t="shared" si="56"/>
        <v>march-2017</v>
      </c>
      <c r="H14" t="str">
        <f t="shared" si="57"/>
        <v>wednesday</v>
      </c>
      <c r="I14" t="str">
        <f t="shared" si="58"/>
        <v>3</v>
      </c>
      <c r="J14">
        <f t="shared" si="59"/>
        <v>11</v>
      </c>
      <c r="K14">
        <f t="shared" si="60"/>
        <v>11</v>
      </c>
      <c r="L14" s="1">
        <f t="shared" si="61"/>
        <v>42795</v>
      </c>
      <c r="M14" s="1">
        <f t="shared" si="62"/>
        <v>42825</v>
      </c>
      <c r="N14" s="1">
        <f t="shared" si="63"/>
        <v>42870</v>
      </c>
      <c r="O14" s="1">
        <f t="shared" si="64"/>
        <v>42750</v>
      </c>
      <c r="P14" s="1">
        <f t="shared" si="46"/>
        <v>42814</v>
      </c>
      <c r="Q14" s="1">
        <f t="shared" si="47"/>
        <v>42805</v>
      </c>
      <c r="R14" s="1">
        <f t="shared" si="48"/>
        <v>43174</v>
      </c>
      <c r="S14" s="1">
        <f t="shared" si="49"/>
        <v>42444</v>
      </c>
      <c r="T14" s="2">
        <f t="shared" si="50"/>
        <v>0</v>
      </c>
      <c r="U14">
        <f t="shared" si="19"/>
        <v>1</v>
      </c>
      <c r="V14">
        <f t="shared" si="20"/>
        <v>1</v>
      </c>
      <c r="W14" s="1">
        <f t="shared" si="21"/>
        <v>42809</v>
      </c>
      <c r="X14" s="1">
        <f t="shared" si="22"/>
        <v>42809</v>
      </c>
      <c r="Y14" s="1">
        <f t="shared" si="23"/>
        <v>42808</v>
      </c>
      <c r="Z14" s="1">
        <f t="shared" si="24"/>
        <v>42808</v>
      </c>
      <c r="AA14" s="1">
        <f t="shared" si="25"/>
        <v>42841</v>
      </c>
      <c r="AB14" s="1">
        <f t="shared" si="26"/>
        <v>42795</v>
      </c>
      <c r="AC14" s="1">
        <f t="shared" si="27"/>
        <v>42795</v>
      </c>
      <c r="AD14" s="1">
        <f t="shared" si="28"/>
        <v>42825</v>
      </c>
      <c r="AE14" s="1">
        <f t="shared" si="29"/>
        <v>42825</v>
      </c>
      <c r="AF14">
        <f t="shared" si="30"/>
        <v>23</v>
      </c>
      <c r="AG14">
        <f t="shared" si="31"/>
        <v>27</v>
      </c>
    </row>
    <row r="15" spans="1:33" x14ac:dyDescent="0.25">
      <c r="A15" s="1">
        <v>42840</v>
      </c>
      <c r="B15" t="str">
        <f t="shared" si="51"/>
        <v>T2</v>
      </c>
      <c r="C15" t="str">
        <f t="shared" si="52"/>
        <v>S1</v>
      </c>
      <c r="D15" t="str">
        <f t="shared" si="53"/>
        <v>T2-2017</v>
      </c>
      <c r="E15" t="str">
        <f t="shared" si="54"/>
        <v>S1-2017</v>
      </c>
      <c r="F15" t="str">
        <f t="shared" si="55"/>
        <v>avril</v>
      </c>
      <c r="G15" t="str">
        <f t="shared" si="56"/>
        <v>april-2017</v>
      </c>
      <c r="H15" t="str">
        <f t="shared" si="57"/>
        <v>saturday</v>
      </c>
      <c r="I15" t="str">
        <f t="shared" si="58"/>
        <v>6</v>
      </c>
      <c r="J15">
        <f t="shared" si="59"/>
        <v>15</v>
      </c>
      <c r="K15">
        <f t="shared" si="60"/>
        <v>15</v>
      </c>
      <c r="L15" s="1">
        <f t="shared" si="61"/>
        <v>42826</v>
      </c>
      <c r="M15" s="1">
        <f t="shared" si="62"/>
        <v>42855</v>
      </c>
      <c r="N15" s="1">
        <f t="shared" si="63"/>
        <v>42901</v>
      </c>
      <c r="O15" s="1">
        <f t="shared" si="64"/>
        <v>42781</v>
      </c>
      <c r="P15" s="1">
        <f t="shared" si="46"/>
        <v>42845</v>
      </c>
      <c r="Q15" s="1">
        <f t="shared" si="47"/>
        <v>42836</v>
      </c>
      <c r="R15" s="1">
        <f t="shared" si="48"/>
        <v>43205</v>
      </c>
      <c r="S15" s="1">
        <f t="shared" si="49"/>
        <v>42475</v>
      </c>
      <c r="T15" s="2">
        <f t="shared" si="50"/>
        <v>0</v>
      </c>
      <c r="U15">
        <f t="shared" si="19"/>
        <v>0</v>
      </c>
      <c r="V15">
        <f t="shared" si="20"/>
        <v>1</v>
      </c>
      <c r="W15" s="1">
        <f t="shared" si="21"/>
        <v>42843</v>
      </c>
      <c r="X15" s="1">
        <f t="shared" si="22"/>
        <v>42840</v>
      </c>
      <c r="Y15" s="1">
        <f t="shared" si="23"/>
        <v>42839</v>
      </c>
      <c r="Z15" s="1">
        <f t="shared" si="24"/>
        <v>42839</v>
      </c>
      <c r="AA15" s="1">
        <f t="shared" si="25"/>
        <v>42841</v>
      </c>
      <c r="AB15" s="1">
        <f t="shared" si="26"/>
        <v>42828</v>
      </c>
      <c r="AC15" s="1">
        <f t="shared" si="27"/>
        <v>42826</v>
      </c>
      <c r="AD15" s="1">
        <f t="shared" si="28"/>
        <v>42854</v>
      </c>
      <c r="AE15" s="1">
        <f t="shared" si="29"/>
        <v>42854</v>
      </c>
      <c r="AF15">
        <f t="shared" si="30"/>
        <v>19</v>
      </c>
      <c r="AG15">
        <f t="shared" si="31"/>
        <v>24</v>
      </c>
    </row>
    <row r="16" spans="1:33" x14ac:dyDescent="0.25">
      <c r="A16" s="1">
        <v>42841</v>
      </c>
      <c r="B16" t="str">
        <f t="shared" si="51"/>
        <v>T2</v>
      </c>
      <c r="C16" t="str">
        <f t="shared" ref="C16" si="65">SEMESTER(A16)</f>
        <v>S1</v>
      </c>
      <c r="D16" t="str">
        <f t="shared" ref="D16" si="66">QUARTERYEAR(A16,"FR")</f>
        <v>T2-2017</v>
      </c>
      <c r="E16" t="str">
        <f t="shared" ref="E16" si="67">SEMESTERYEAR(A16)</f>
        <v>S1-2017</v>
      </c>
      <c r="F16" t="str">
        <f t="shared" ref="F16" si="68">MONTHTEXT(A16,"FR")</f>
        <v>avril</v>
      </c>
      <c r="G16" t="str">
        <f t="shared" ref="G16" si="69">MONTHYEAR(A16,"EN")</f>
        <v>april-2017</v>
      </c>
      <c r="H16" t="str">
        <f t="shared" ref="H16" si="70">DayWeek(A16)</f>
        <v>sunday</v>
      </c>
      <c r="I16" t="str">
        <f t="shared" ref="I16" si="71">NumDayWeek(A16)</f>
        <v>7</v>
      </c>
      <c r="J16">
        <f t="shared" ref="J16" si="72">NumWeekYearEuro(A16)</f>
        <v>15</v>
      </c>
      <c r="K16">
        <f t="shared" ref="K16" si="73">NumWeekYearDefault(A16)</f>
        <v>16</v>
      </c>
      <c r="L16" s="1">
        <f t="shared" ref="L16" si="74">BeginMonth(A16)</f>
        <v>42826</v>
      </c>
      <c r="M16" s="1">
        <f t="shared" ref="M16" si="75">EndMonth(A16)</f>
        <v>42855</v>
      </c>
      <c r="N16" s="1">
        <f t="shared" ref="N16" si="76">AddMonth(A16,2)</f>
        <v>42902</v>
      </c>
      <c r="O16" s="1">
        <f t="shared" ref="O16" si="77">AddMonth(A16,-2)</f>
        <v>42782</v>
      </c>
      <c r="P16" s="1">
        <f t="shared" ref="P16" si="78">AddDay(A16,5)</f>
        <v>42846</v>
      </c>
      <c r="Q16" s="1">
        <f t="shared" ref="Q16" si="79">AddDay(A16,-4)</f>
        <v>42837</v>
      </c>
      <c r="R16" s="1">
        <f t="shared" ref="R16" si="80">AddYear(A16,1)</f>
        <v>43206</v>
      </c>
      <c r="S16" s="1">
        <f t="shared" ref="S16" si="81">AddYear(A16,-1)</f>
        <v>42476</v>
      </c>
      <c r="T16" s="2">
        <f t="shared" si="50"/>
        <v>1</v>
      </c>
      <c r="U16">
        <f t="shared" si="19"/>
        <v>0</v>
      </c>
      <c r="V16">
        <f t="shared" si="20"/>
        <v>0</v>
      </c>
      <c r="W16" s="1">
        <f t="shared" si="21"/>
        <v>42843</v>
      </c>
      <c r="X16" s="1">
        <f t="shared" si="22"/>
        <v>42843</v>
      </c>
      <c r="Y16" s="1">
        <f t="shared" si="23"/>
        <v>42840</v>
      </c>
      <c r="Z16" s="1">
        <f t="shared" si="24"/>
        <v>42840</v>
      </c>
      <c r="AA16" s="1">
        <f t="shared" si="25"/>
        <v>42842</v>
      </c>
      <c r="AB16" s="1">
        <f t="shared" si="26"/>
        <v>42828</v>
      </c>
      <c r="AC16" s="1">
        <f t="shared" si="27"/>
        <v>42826</v>
      </c>
      <c r="AD16" s="1">
        <f t="shared" si="28"/>
        <v>42854</v>
      </c>
      <c r="AE16" s="1">
        <f t="shared" si="29"/>
        <v>42854</v>
      </c>
      <c r="AF16">
        <f t="shared" si="30"/>
        <v>19</v>
      </c>
      <c r="AG16">
        <f t="shared" si="31"/>
        <v>24</v>
      </c>
    </row>
    <row r="17" spans="1:33" s="7" customFormat="1" x14ac:dyDescent="0.25">
      <c r="A17" s="6">
        <v>42842</v>
      </c>
      <c r="B17" s="7" t="str">
        <f t="shared" si="51"/>
        <v>T2</v>
      </c>
      <c r="C17" s="7" t="str">
        <f t="shared" ref="C17" si="82">SEMESTER(A17)</f>
        <v>S1</v>
      </c>
      <c r="D17" s="7" t="str">
        <f t="shared" ref="D17" si="83">QUARTERYEAR(A17,"FR")</f>
        <v>T2-2017</v>
      </c>
      <c r="E17" s="7" t="str">
        <f t="shared" ref="E17" si="84">SEMESTERYEAR(A17)</f>
        <v>S1-2017</v>
      </c>
      <c r="F17" s="7" t="str">
        <f t="shared" ref="F17" si="85">MONTHTEXT(A17,"FR")</f>
        <v>avril</v>
      </c>
      <c r="G17" s="7" t="str">
        <f t="shared" ref="G17" si="86">MONTHYEAR(A17,"EN")</f>
        <v>april-2017</v>
      </c>
      <c r="H17" s="7" t="str">
        <f t="shared" ref="H17" si="87">DayWeek(A17)</f>
        <v>monday</v>
      </c>
      <c r="I17" s="7" t="str">
        <f t="shared" ref="I17" si="88">NumDayWeek(A17)</f>
        <v>1</v>
      </c>
      <c r="J17" s="7">
        <f t="shared" ref="J17" si="89">NumWeekYearEuro(A17)</f>
        <v>16</v>
      </c>
      <c r="K17" s="7">
        <f t="shared" ref="K17" si="90">NumWeekYearDefault(A17)</f>
        <v>16</v>
      </c>
      <c r="L17" s="6">
        <f t="shared" ref="L17" si="91">BeginMonth(A17)</f>
        <v>42826</v>
      </c>
      <c r="M17" s="6">
        <f t="shared" ref="M17" si="92">EndMonth(A17)</f>
        <v>42855</v>
      </c>
      <c r="N17" s="6">
        <f t="shared" ref="N17" si="93">AddMonth(A17,2)</f>
        <v>42903</v>
      </c>
      <c r="O17" s="6">
        <f t="shared" ref="O17" si="94">AddMonth(A17,-2)</f>
        <v>42783</v>
      </c>
      <c r="P17" s="6">
        <f t="shared" ref="P17" si="95">AddDay(A17,5)</f>
        <v>42847</v>
      </c>
      <c r="Q17" s="6">
        <f t="shared" ref="Q17" si="96">AddDay(A17,-4)</f>
        <v>42838</v>
      </c>
      <c r="R17" s="6">
        <f t="shared" ref="R17" si="97">AddYear(A17,1)</f>
        <v>43207</v>
      </c>
      <c r="S17" s="6">
        <f t="shared" ref="S17" si="98">AddYear(A17,-1)</f>
        <v>42477</v>
      </c>
      <c r="T17" s="8">
        <f t="shared" si="50"/>
        <v>1</v>
      </c>
      <c r="U17" s="7">
        <f t="shared" si="19"/>
        <v>0</v>
      </c>
      <c r="V17" s="7">
        <f t="shared" si="20"/>
        <v>0</v>
      </c>
      <c r="W17" s="6">
        <f t="shared" si="21"/>
        <v>42843</v>
      </c>
      <c r="X17" s="6">
        <f t="shared" si="22"/>
        <v>42843</v>
      </c>
      <c r="Y17" s="6">
        <f t="shared" si="23"/>
        <v>42840</v>
      </c>
      <c r="Z17" s="6">
        <f t="shared" si="24"/>
        <v>42840</v>
      </c>
      <c r="AA17" s="6">
        <f t="shared" si="25"/>
        <v>42856</v>
      </c>
      <c r="AB17" s="6">
        <f t="shared" si="26"/>
        <v>42828</v>
      </c>
      <c r="AC17" s="6">
        <f t="shared" si="27"/>
        <v>42826</v>
      </c>
      <c r="AD17" s="6">
        <f t="shared" si="28"/>
        <v>42854</v>
      </c>
      <c r="AE17" s="6">
        <f t="shared" si="29"/>
        <v>42854</v>
      </c>
      <c r="AF17" s="7">
        <f t="shared" si="30"/>
        <v>19</v>
      </c>
      <c r="AG17" s="7">
        <f t="shared" si="31"/>
        <v>24</v>
      </c>
    </row>
    <row r="18" spans="1:33" s="7" customFormat="1" x14ac:dyDescent="0.25">
      <c r="A18" s="6">
        <v>42843</v>
      </c>
      <c r="B18" s="7" t="str">
        <f t="shared" si="51"/>
        <v>T2</v>
      </c>
      <c r="C18" s="7" t="str">
        <f t="shared" ref="C18" si="99">SEMESTER(A18)</f>
        <v>S1</v>
      </c>
      <c r="D18" s="7" t="str">
        <f t="shared" ref="D18" si="100">QUARTERYEAR(A18,"FR")</f>
        <v>T2-2017</v>
      </c>
      <c r="E18" s="7" t="str">
        <f t="shared" ref="E18" si="101">SEMESTERYEAR(A18)</f>
        <v>S1-2017</v>
      </c>
      <c r="F18" s="7" t="str">
        <f t="shared" ref="F18" si="102">MONTHTEXT(A18,"FR")</f>
        <v>avril</v>
      </c>
      <c r="G18" s="7" t="str">
        <f t="shared" ref="G18" si="103">MONTHYEAR(A18,"EN")</f>
        <v>april-2017</v>
      </c>
      <c r="H18" s="7" t="str">
        <f t="shared" ref="H18" si="104">DayWeek(A18)</f>
        <v>tuesday</v>
      </c>
      <c r="I18" s="7" t="str">
        <f t="shared" ref="I18" si="105">NumDayWeek(A18)</f>
        <v>2</v>
      </c>
      <c r="J18" s="7">
        <f t="shared" ref="J18" si="106">NumWeekYearEuro(A18)</f>
        <v>16</v>
      </c>
      <c r="K18" s="7">
        <f t="shared" ref="K18" si="107">NumWeekYearDefault(A18)</f>
        <v>16</v>
      </c>
      <c r="L18" s="6">
        <f t="shared" ref="L18" si="108">BeginMonth(A18)</f>
        <v>42826</v>
      </c>
      <c r="M18" s="6">
        <f t="shared" ref="M18" si="109">EndMonth(A18)</f>
        <v>42855</v>
      </c>
      <c r="N18" s="6">
        <f t="shared" ref="N18" si="110">AddMonth(A18,2)</f>
        <v>42904</v>
      </c>
      <c r="O18" s="6">
        <f t="shared" ref="O18" si="111">AddMonth(A18,-2)</f>
        <v>42784</v>
      </c>
      <c r="P18" s="6">
        <f t="shared" ref="P18" si="112">AddDay(A18,5)</f>
        <v>42848</v>
      </c>
      <c r="Q18" s="6">
        <f t="shared" ref="Q18" si="113">AddDay(A18,-4)</f>
        <v>42839</v>
      </c>
      <c r="R18" s="6">
        <f t="shared" ref="R18" si="114">AddYear(A18,1)</f>
        <v>43208</v>
      </c>
      <c r="S18" s="6">
        <f t="shared" ref="S18" si="115">AddYear(A18,-1)</f>
        <v>42478</v>
      </c>
      <c r="T18" s="8">
        <f t="shared" si="50"/>
        <v>0</v>
      </c>
      <c r="U18" s="7">
        <f t="shared" si="19"/>
        <v>1</v>
      </c>
      <c r="V18" s="7">
        <f t="shared" si="20"/>
        <v>1</v>
      </c>
      <c r="W18" s="6">
        <f t="shared" si="21"/>
        <v>42843</v>
      </c>
      <c r="X18" s="6">
        <f t="shared" si="22"/>
        <v>42843</v>
      </c>
      <c r="Y18" s="6">
        <f t="shared" si="23"/>
        <v>42840</v>
      </c>
      <c r="Z18" s="6">
        <f t="shared" si="24"/>
        <v>42840</v>
      </c>
      <c r="AA18" s="6">
        <f t="shared" si="25"/>
        <v>42856</v>
      </c>
      <c r="AB18" s="6">
        <f t="shared" si="26"/>
        <v>42828</v>
      </c>
      <c r="AC18" s="6">
        <f t="shared" si="27"/>
        <v>42826</v>
      </c>
      <c r="AD18" s="6">
        <f t="shared" si="28"/>
        <v>42854</v>
      </c>
      <c r="AE18" s="6">
        <f t="shared" si="29"/>
        <v>42854</v>
      </c>
      <c r="AF18" s="7">
        <f t="shared" si="30"/>
        <v>19</v>
      </c>
      <c r="AG18" s="7">
        <f t="shared" si="31"/>
        <v>24</v>
      </c>
    </row>
    <row r="19" spans="1:33" x14ac:dyDescent="0.25">
      <c r="A19" s="1">
        <v>42962</v>
      </c>
      <c r="B19" t="str">
        <f t="shared" si="51"/>
        <v>T3</v>
      </c>
      <c r="C19" t="str">
        <f t="shared" si="52"/>
        <v>S2</v>
      </c>
      <c r="D19" t="str">
        <f t="shared" si="53"/>
        <v>T3-2017</v>
      </c>
      <c r="E19" t="str">
        <f t="shared" si="54"/>
        <v>S2-2017</v>
      </c>
      <c r="F19" t="str">
        <f t="shared" si="55"/>
        <v>aout</v>
      </c>
      <c r="G19" t="str">
        <f t="shared" si="56"/>
        <v>august-2017</v>
      </c>
      <c r="H19" t="str">
        <f t="shared" si="57"/>
        <v>tuesday</v>
      </c>
      <c r="I19" t="str">
        <f t="shared" si="58"/>
        <v>2</v>
      </c>
      <c r="J19">
        <f t="shared" si="59"/>
        <v>33</v>
      </c>
      <c r="K19">
        <f t="shared" si="60"/>
        <v>33</v>
      </c>
      <c r="L19" s="1">
        <f t="shared" si="61"/>
        <v>42948</v>
      </c>
      <c r="M19" s="1">
        <f t="shared" si="62"/>
        <v>42978</v>
      </c>
      <c r="N19" s="1">
        <f t="shared" si="63"/>
        <v>43023</v>
      </c>
      <c r="O19" s="1">
        <f t="shared" si="64"/>
        <v>42901</v>
      </c>
      <c r="P19" s="1">
        <f t="shared" si="46"/>
        <v>42967</v>
      </c>
      <c r="Q19" s="1">
        <f t="shared" si="47"/>
        <v>42958</v>
      </c>
      <c r="R19" s="1">
        <f t="shared" si="48"/>
        <v>43327</v>
      </c>
      <c r="S19" s="1">
        <f t="shared" si="49"/>
        <v>42597</v>
      </c>
      <c r="T19" s="2">
        <f t="shared" si="50"/>
        <v>1</v>
      </c>
      <c r="U19">
        <f t="shared" si="19"/>
        <v>0</v>
      </c>
      <c r="V19">
        <f t="shared" si="20"/>
        <v>0</v>
      </c>
      <c r="W19" s="1">
        <f t="shared" si="21"/>
        <v>42963</v>
      </c>
      <c r="X19" s="1">
        <f t="shared" si="22"/>
        <v>42963</v>
      </c>
      <c r="Y19" s="1">
        <f t="shared" si="23"/>
        <v>42961</v>
      </c>
      <c r="Z19" s="1">
        <f t="shared" si="24"/>
        <v>42961</v>
      </c>
      <c r="AA19" s="1">
        <f t="shared" si="25"/>
        <v>43040</v>
      </c>
      <c r="AB19" s="1">
        <f t="shared" si="26"/>
        <v>42948</v>
      </c>
      <c r="AC19" s="1">
        <f t="shared" si="27"/>
        <v>42948</v>
      </c>
      <c r="AD19" s="1">
        <f t="shared" si="28"/>
        <v>42978</v>
      </c>
      <c r="AE19" s="1">
        <f t="shared" si="29"/>
        <v>42978</v>
      </c>
      <c r="AF19">
        <f t="shared" si="30"/>
        <v>22</v>
      </c>
      <c r="AG19">
        <f t="shared" si="31"/>
        <v>26</v>
      </c>
    </row>
    <row r="20" spans="1:33" x14ac:dyDescent="0.25">
      <c r="A20" s="1">
        <v>42993</v>
      </c>
      <c r="B20" t="str">
        <f t="shared" si="51"/>
        <v>T3</v>
      </c>
      <c r="C20" t="str">
        <f t="shared" si="52"/>
        <v>S2</v>
      </c>
      <c r="D20" t="str">
        <f t="shared" si="53"/>
        <v>T3-2017</v>
      </c>
      <c r="E20" t="str">
        <f t="shared" si="54"/>
        <v>S2-2017</v>
      </c>
      <c r="F20" t="str">
        <f t="shared" si="55"/>
        <v>septembre</v>
      </c>
      <c r="G20" t="str">
        <f t="shared" si="56"/>
        <v>september-2017</v>
      </c>
      <c r="H20" t="str">
        <f t="shared" si="57"/>
        <v>friday</v>
      </c>
      <c r="I20" t="str">
        <f t="shared" si="58"/>
        <v>5</v>
      </c>
      <c r="J20">
        <f t="shared" si="59"/>
        <v>37</v>
      </c>
      <c r="K20">
        <f t="shared" si="60"/>
        <v>37</v>
      </c>
      <c r="L20" s="1">
        <f t="shared" si="61"/>
        <v>42979</v>
      </c>
      <c r="M20" s="1">
        <f t="shared" si="62"/>
        <v>43008</v>
      </c>
      <c r="N20" s="1">
        <f t="shared" si="63"/>
        <v>43054</v>
      </c>
      <c r="O20" s="1">
        <f t="shared" si="64"/>
        <v>42931</v>
      </c>
      <c r="P20" s="1">
        <f t="shared" si="46"/>
        <v>42998</v>
      </c>
      <c r="Q20" s="1">
        <f t="shared" si="47"/>
        <v>42989</v>
      </c>
      <c r="R20" s="1">
        <f t="shared" si="48"/>
        <v>43358</v>
      </c>
      <c r="S20" s="1">
        <f t="shared" si="49"/>
        <v>42628</v>
      </c>
      <c r="T20" s="2">
        <f t="shared" si="50"/>
        <v>0</v>
      </c>
      <c r="U20">
        <f t="shared" si="19"/>
        <v>1</v>
      </c>
      <c r="V20">
        <f t="shared" si="20"/>
        <v>1</v>
      </c>
      <c r="W20" s="1">
        <f t="shared" si="21"/>
        <v>42993</v>
      </c>
      <c r="X20" s="1">
        <f t="shared" si="22"/>
        <v>42993</v>
      </c>
      <c r="Y20" s="1">
        <f t="shared" si="23"/>
        <v>42992</v>
      </c>
      <c r="Z20" s="1">
        <f t="shared" si="24"/>
        <v>42992</v>
      </c>
      <c r="AA20" s="1">
        <f t="shared" si="25"/>
        <v>43040</v>
      </c>
      <c r="AB20" s="1">
        <f t="shared" si="26"/>
        <v>42979</v>
      </c>
      <c r="AC20" s="1">
        <f t="shared" si="27"/>
        <v>42979</v>
      </c>
      <c r="AD20" s="1">
        <f t="shared" si="28"/>
        <v>43007</v>
      </c>
      <c r="AE20" s="1">
        <f t="shared" si="29"/>
        <v>43008</v>
      </c>
      <c r="AF20">
        <f t="shared" si="30"/>
        <v>21</v>
      </c>
      <c r="AG20">
        <f t="shared" si="31"/>
        <v>26</v>
      </c>
    </row>
    <row r="21" spans="1:33" x14ac:dyDescent="0.25">
      <c r="A21" s="1">
        <v>43084</v>
      </c>
      <c r="B21" t="str">
        <f t="shared" si="51"/>
        <v>T4</v>
      </c>
      <c r="C21" t="str">
        <f t="shared" si="52"/>
        <v>S2</v>
      </c>
      <c r="D21" t="str">
        <f t="shared" si="53"/>
        <v>T4-2017</v>
      </c>
      <c r="E21" t="str">
        <f t="shared" si="54"/>
        <v>S2-2017</v>
      </c>
      <c r="F21" t="str">
        <f t="shared" si="55"/>
        <v>décembre</v>
      </c>
      <c r="G21" t="str">
        <f t="shared" si="56"/>
        <v>december-2017</v>
      </c>
      <c r="H21" t="str">
        <f t="shared" si="57"/>
        <v>friday</v>
      </c>
      <c r="I21" t="str">
        <f t="shared" si="58"/>
        <v>5</v>
      </c>
      <c r="J21">
        <f t="shared" si="59"/>
        <v>50</v>
      </c>
      <c r="K21">
        <f t="shared" si="60"/>
        <v>50</v>
      </c>
      <c r="L21" s="1">
        <f t="shared" si="61"/>
        <v>43070</v>
      </c>
      <c r="M21" s="1">
        <f t="shared" si="62"/>
        <v>43100</v>
      </c>
      <c r="N21" s="1">
        <f t="shared" si="63"/>
        <v>43146</v>
      </c>
      <c r="O21" s="1">
        <f t="shared" si="64"/>
        <v>43023</v>
      </c>
      <c r="P21" s="1">
        <f t="shared" si="46"/>
        <v>43089</v>
      </c>
      <c r="Q21" s="1">
        <f t="shared" si="47"/>
        <v>43080</v>
      </c>
      <c r="R21" s="1">
        <f t="shared" si="48"/>
        <v>43449</v>
      </c>
      <c r="S21" s="1">
        <f t="shared" si="49"/>
        <v>42719</v>
      </c>
      <c r="T21" s="2">
        <f t="shared" si="50"/>
        <v>0</v>
      </c>
      <c r="U21">
        <f t="shared" si="19"/>
        <v>1</v>
      </c>
      <c r="V21">
        <f t="shared" si="20"/>
        <v>1</v>
      </c>
      <c r="W21" s="1">
        <f t="shared" si="21"/>
        <v>43084</v>
      </c>
      <c r="X21" s="1">
        <f t="shared" si="22"/>
        <v>43084</v>
      </c>
      <c r="Y21" s="1">
        <f t="shared" si="23"/>
        <v>43083</v>
      </c>
      <c r="Z21" s="1">
        <f t="shared" si="24"/>
        <v>43083</v>
      </c>
      <c r="AA21" s="1">
        <f t="shared" si="25"/>
        <v>43094</v>
      </c>
      <c r="AB21" s="1">
        <f t="shared" si="26"/>
        <v>43070</v>
      </c>
      <c r="AC21" s="1">
        <f t="shared" si="27"/>
        <v>43070</v>
      </c>
      <c r="AD21" s="1">
        <f t="shared" si="28"/>
        <v>43099</v>
      </c>
      <c r="AE21" s="1">
        <f t="shared" si="29"/>
        <v>43099</v>
      </c>
      <c r="AF21">
        <f t="shared" si="30"/>
        <v>20</v>
      </c>
      <c r="AG21">
        <f t="shared" si="31"/>
        <v>25</v>
      </c>
    </row>
    <row r="22" spans="1:33" x14ac:dyDescent="0.25">
      <c r="A22" s="1">
        <v>42685</v>
      </c>
      <c r="B22" t="str">
        <f t="shared" si="51"/>
        <v>T4</v>
      </c>
      <c r="C22" t="str">
        <f t="shared" ref="C22" si="116">SEMESTER(A22)</f>
        <v>S2</v>
      </c>
      <c r="D22" t="str">
        <f t="shared" ref="D22" si="117">QUARTERYEAR(A22,"FR")</f>
        <v>T4-2016</v>
      </c>
      <c r="E22" t="str">
        <f t="shared" ref="E22" si="118">SEMESTERYEAR(A22)</f>
        <v>S2-2016</v>
      </c>
      <c r="F22" t="str">
        <f t="shared" ref="F22" si="119">MONTHTEXT(A22,"FR")</f>
        <v>novembre</v>
      </c>
      <c r="G22" t="str">
        <f t="shared" ref="G22" si="120">MONTHYEAR(A22,"EN")</f>
        <v>november-2016</v>
      </c>
      <c r="H22" t="str">
        <f t="shared" ref="H22" si="121">DayWeek(A22)</f>
        <v>friday</v>
      </c>
      <c r="I22" t="str">
        <f t="shared" ref="I22" si="122">NumDayWeek(A22)</f>
        <v>5</v>
      </c>
      <c r="J22">
        <f t="shared" ref="J22" si="123">NumWeekYearEuro(A22)</f>
        <v>45</v>
      </c>
      <c r="K22">
        <f t="shared" ref="K22" si="124">NumWeekYearDefault(A22)</f>
        <v>46</v>
      </c>
      <c r="L22" s="1">
        <f t="shared" ref="L22" si="125">BeginMonth(A22)</f>
        <v>42675</v>
      </c>
      <c r="M22" s="1">
        <f t="shared" ref="M22" si="126">EndMonth(A22)</f>
        <v>42704</v>
      </c>
      <c r="N22" s="1">
        <f t="shared" ref="N22" si="127">AddMonth(A22,2)</f>
        <v>42746</v>
      </c>
      <c r="O22" s="1">
        <f t="shared" ref="O22" si="128">AddMonth(A22,-2)</f>
        <v>42624</v>
      </c>
      <c r="P22" s="1">
        <f t="shared" ref="P22" si="129">AddDay(A22,5)</f>
        <v>42690</v>
      </c>
      <c r="Q22" s="1">
        <f t="shared" ref="Q22" si="130">AddDay(A22,-4)</f>
        <v>42681</v>
      </c>
      <c r="R22" s="1">
        <f t="shared" ref="R22" si="131">AddYear(A22,1)</f>
        <v>43050</v>
      </c>
      <c r="S22" s="1">
        <f t="shared" ref="S22" si="132">AddYear(A22,-1)</f>
        <v>42319</v>
      </c>
      <c r="T22" s="2">
        <f t="shared" ref="T22" si="133">PublicHolidayFr(A22)</f>
        <v>1</v>
      </c>
      <c r="U22">
        <f t="shared" si="19"/>
        <v>0</v>
      </c>
      <c r="V22">
        <f t="shared" si="20"/>
        <v>0</v>
      </c>
      <c r="W22" s="1">
        <f t="shared" si="21"/>
        <v>42688</v>
      </c>
      <c r="X22" s="1">
        <f t="shared" si="22"/>
        <v>42686</v>
      </c>
      <c r="Y22" s="1">
        <f t="shared" si="23"/>
        <v>42684</v>
      </c>
      <c r="Z22" s="1">
        <f t="shared" si="24"/>
        <v>42684</v>
      </c>
      <c r="AA22" s="1">
        <f t="shared" si="25"/>
        <v>42729</v>
      </c>
      <c r="AB22" s="1">
        <f t="shared" si="26"/>
        <v>42676</v>
      </c>
      <c r="AC22" s="1">
        <f t="shared" si="27"/>
        <v>42676</v>
      </c>
      <c r="AD22" s="1">
        <f t="shared" si="28"/>
        <v>42704</v>
      </c>
      <c r="AE22" s="1">
        <f t="shared" si="29"/>
        <v>42704</v>
      </c>
      <c r="AF22">
        <f t="shared" si="30"/>
        <v>20</v>
      </c>
      <c r="AG22">
        <f t="shared" si="31"/>
        <v>24</v>
      </c>
    </row>
    <row r="23" spans="1:33" x14ac:dyDescent="0.25">
      <c r="A23" s="1">
        <v>42689</v>
      </c>
      <c r="B23" t="str">
        <f t="shared" si="51"/>
        <v>T4</v>
      </c>
      <c r="C23" t="str">
        <f t="shared" si="52"/>
        <v>S2</v>
      </c>
      <c r="D23" t="str">
        <f t="shared" si="53"/>
        <v>T4-2016</v>
      </c>
      <c r="E23" t="str">
        <f t="shared" si="54"/>
        <v>S2-2016</v>
      </c>
      <c r="F23" t="str">
        <f t="shared" si="55"/>
        <v>novembre</v>
      </c>
      <c r="G23" t="str">
        <f t="shared" si="56"/>
        <v>november-2016</v>
      </c>
      <c r="H23" t="str">
        <f t="shared" si="57"/>
        <v>tuesday</v>
      </c>
      <c r="I23" t="str">
        <f t="shared" si="58"/>
        <v>2</v>
      </c>
      <c r="J23">
        <f t="shared" si="59"/>
        <v>46</v>
      </c>
      <c r="K23">
        <f t="shared" si="60"/>
        <v>47</v>
      </c>
      <c r="L23" s="1">
        <f t="shared" si="61"/>
        <v>42675</v>
      </c>
      <c r="M23" s="1">
        <f t="shared" si="62"/>
        <v>42704</v>
      </c>
      <c r="N23" s="1">
        <f t="shared" si="63"/>
        <v>42750</v>
      </c>
      <c r="O23" s="1">
        <f t="shared" si="64"/>
        <v>42628</v>
      </c>
      <c r="P23" s="1">
        <f t="shared" si="46"/>
        <v>42694</v>
      </c>
      <c r="Q23" s="1">
        <f t="shared" si="47"/>
        <v>42685</v>
      </c>
      <c r="R23" s="1">
        <f t="shared" si="48"/>
        <v>43054</v>
      </c>
      <c r="S23" s="1">
        <f t="shared" si="49"/>
        <v>42323</v>
      </c>
      <c r="T23" s="2">
        <f t="shared" si="50"/>
        <v>0</v>
      </c>
      <c r="U23">
        <f t="shared" si="19"/>
        <v>1</v>
      </c>
      <c r="V23">
        <f t="shared" si="20"/>
        <v>1</v>
      </c>
      <c r="W23" s="1">
        <f t="shared" si="21"/>
        <v>42689</v>
      </c>
      <c r="X23" s="1">
        <f t="shared" si="22"/>
        <v>42689</v>
      </c>
      <c r="Y23" s="1">
        <f t="shared" si="23"/>
        <v>42688</v>
      </c>
      <c r="Z23" s="1">
        <f t="shared" si="24"/>
        <v>42688</v>
      </c>
      <c r="AA23" s="1">
        <f t="shared" si="25"/>
        <v>42729</v>
      </c>
      <c r="AB23" s="1">
        <f t="shared" si="26"/>
        <v>42676</v>
      </c>
      <c r="AC23" s="1">
        <f t="shared" si="27"/>
        <v>42676</v>
      </c>
      <c r="AD23" s="1">
        <f t="shared" si="28"/>
        <v>42704</v>
      </c>
      <c r="AE23" s="1">
        <f t="shared" si="29"/>
        <v>42704</v>
      </c>
      <c r="AF23">
        <f t="shared" si="30"/>
        <v>20</v>
      </c>
      <c r="AG23">
        <f t="shared" si="31"/>
        <v>24</v>
      </c>
    </row>
    <row r="24" spans="1:33" x14ac:dyDescent="0.25">
      <c r="A24" s="1">
        <f ca="1">TODAY()</f>
        <v>42837</v>
      </c>
      <c r="B24" t="str">
        <f t="shared" ca="1" si="51"/>
        <v>T2</v>
      </c>
      <c r="C24" t="str">
        <f t="shared" ca="1" si="52"/>
        <v>S1</v>
      </c>
      <c r="D24" t="str">
        <f t="shared" ca="1" si="53"/>
        <v>T2-2017</v>
      </c>
      <c r="E24" t="str">
        <f t="shared" ca="1" si="54"/>
        <v>S1-2017</v>
      </c>
      <c r="F24" t="str">
        <f t="shared" ca="1" si="55"/>
        <v>avril</v>
      </c>
      <c r="G24" t="str">
        <f t="shared" ca="1" si="56"/>
        <v>april-2017</v>
      </c>
      <c r="H24" t="str">
        <f t="shared" ca="1" si="57"/>
        <v>wednesday</v>
      </c>
      <c r="I24" t="str">
        <f t="shared" ca="1" si="58"/>
        <v>3</v>
      </c>
      <c r="J24">
        <f t="shared" ca="1" si="59"/>
        <v>15</v>
      </c>
      <c r="K24">
        <f t="shared" ca="1" si="60"/>
        <v>15</v>
      </c>
      <c r="L24" s="1">
        <f t="shared" ca="1" si="61"/>
        <v>42826</v>
      </c>
      <c r="M24" s="1">
        <f t="shared" ca="1" si="62"/>
        <v>42855</v>
      </c>
      <c r="N24" s="1">
        <f t="shared" ca="1" si="63"/>
        <v>42898</v>
      </c>
      <c r="O24" s="1">
        <f t="shared" ca="1" si="64"/>
        <v>42778</v>
      </c>
      <c r="P24" s="1">
        <f t="shared" ca="1" si="46"/>
        <v>42842</v>
      </c>
      <c r="Q24" s="1">
        <f t="shared" ca="1" si="47"/>
        <v>42833</v>
      </c>
      <c r="R24" s="1">
        <f t="shared" ca="1" si="48"/>
        <v>43202</v>
      </c>
      <c r="S24" s="1">
        <f t="shared" ca="1" si="49"/>
        <v>42472</v>
      </c>
      <c r="T24" s="2">
        <f t="shared" ca="1" si="50"/>
        <v>0</v>
      </c>
      <c r="U24">
        <f t="shared" ca="1" si="19"/>
        <v>1</v>
      </c>
      <c r="V24">
        <f t="shared" ca="1" si="20"/>
        <v>1</v>
      </c>
      <c r="W24" s="1">
        <f t="shared" ca="1" si="21"/>
        <v>42837</v>
      </c>
      <c r="X24" s="1">
        <f t="shared" ca="1" si="22"/>
        <v>42837</v>
      </c>
      <c r="Y24" s="1">
        <f t="shared" ca="1" si="23"/>
        <v>42836</v>
      </c>
      <c r="Z24" s="1">
        <f t="shared" ca="1" si="24"/>
        <v>42836</v>
      </c>
      <c r="AA24" s="1">
        <f t="shared" ca="1" si="25"/>
        <v>42841</v>
      </c>
      <c r="AB24" s="1">
        <f t="shared" ca="1" si="26"/>
        <v>42828</v>
      </c>
      <c r="AC24" s="1">
        <f t="shared" ca="1" si="27"/>
        <v>42826</v>
      </c>
      <c r="AD24" s="1">
        <f t="shared" ca="1" si="28"/>
        <v>42854</v>
      </c>
      <c r="AE24" s="1">
        <f t="shared" ca="1" si="29"/>
        <v>42854</v>
      </c>
      <c r="AF24">
        <f t="shared" ca="1" si="30"/>
        <v>19</v>
      </c>
      <c r="AG24">
        <f t="shared" ca="1" si="31"/>
        <v>24</v>
      </c>
    </row>
    <row r="25" spans="1:33" x14ac:dyDescent="0.25">
      <c r="A25" s="1">
        <v>42736</v>
      </c>
      <c r="B25" t="str">
        <f t="shared" si="51"/>
        <v>T1</v>
      </c>
      <c r="C25" t="str">
        <f t="shared" si="52"/>
        <v>S1</v>
      </c>
      <c r="D25" t="str">
        <f t="shared" si="53"/>
        <v>T1-2017</v>
      </c>
      <c r="E25" t="str">
        <f t="shared" si="54"/>
        <v>S1-2017</v>
      </c>
      <c r="F25" t="str">
        <f t="shared" si="55"/>
        <v>janvier</v>
      </c>
      <c r="G25" t="str">
        <f t="shared" si="56"/>
        <v>january-2017</v>
      </c>
      <c r="H25" t="str">
        <f t="shared" si="57"/>
        <v>sunday</v>
      </c>
      <c r="I25" t="str">
        <f t="shared" si="58"/>
        <v>7</v>
      </c>
      <c r="J25">
        <f t="shared" si="59"/>
        <v>52</v>
      </c>
      <c r="K25">
        <f t="shared" si="60"/>
        <v>1</v>
      </c>
      <c r="L25" s="1">
        <f t="shared" si="61"/>
        <v>42736</v>
      </c>
      <c r="M25" s="1">
        <f t="shared" si="62"/>
        <v>42766</v>
      </c>
      <c r="N25" s="1">
        <f t="shared" si="63"/>
        <v>42795</v>
      </c>
      <c r="O25" s="1">
        <f t="shared" si="64"/>
        <v>42675</v>
      </c>
      <c r="P25" s="1">
        <f t="shared" si="46"/>
        <v>42741</v>
      </c>
      <c r="Q25" s="1">
        <f t="shared" si="47"/>
        <v>42732</v>
      </c>
      <c r="R25" s="1">
        <f t="shared" si="48"/>
        <v>43101</v>
      </c>
      <c r="S25" s="1">
        <f t="shared" si="49"/>
        <v>42370</v>
      </c>
      <c r="T25" s="2">
        <f t="shared" si="50"/>
        <v>1</v>
      </c>
      <c r="U25">
        <f t="shared" si="19"/>
        <v>0</v>
      </c>
      <c r="V25">
        <f t="shared" si="20"/>
        <v>0</v>
      </c>
      <c r="W25" s="1">
        <f t="shared" si="21"/>
        <v>42737</v>
      </c>
      <c r="X25" s="1">
        <f t="shared" si="22"/>
        <v>42737</v>
      </c>
      <c r="Y25" s="1">
        <f t="shared" si="23"/>
        <v>42735</v>
      </c>
      <c r="Z25" s="1">
        <f t="shared" si="24"/>
        <v>42735</v>
      </c>
      <c r="AA25" s="1">
        <f t="shared" si="25"/>
        <v>42841</v>
      </c>
      <c r="AB25" s="1">
        <f t="shared" si="26"/>
        <v>42737</v>
      </c>
      <c r="AC25" s="1">
        <f t="shared" si="27"/>
        <v>42737</v>
      </c>
      <c r="AD25" s="1">
        <f t="shared" si="28"/>
        <v>42766</v>
      </c>
      <c r="AE25" s="1">
        <f t="shared" si="29"/>
        <v>42766</v>
      </c>
      <c r="AF25">
        <f t="shared" si="30"/>
        <v>22</v>
      </c>
      <c r="AG25">
        <f t="shared" si="31"/>
        <v>26</v>
      </c>
    </row>
    <row r="26" spans="1:33" x14ac:dyDescent="0.25">
      <c r="A26" s="1">
        <v>42743</v>
      </c>
      <c r="B26" t="str">
        <f t="shared" si="51"/>
        <v>T1</v>
      </c>
      <c r="C26" t="str">
        <f t="shared" si="52"/>
        <v>S1</v>
      </c>
      <c r="D26" t="str">
        <f t="shared" si="53"/>
        <v>T1-2017</v>
      </c>
      <c r="E26" t="str">
        <f t="shared" si="54"/>
        <v>S1-2017</v>
      </c>
      <c r="F26" t="str">
        <f t="shared" si="55"/>
        <v>janvier</v>
      </c>
      <c r="G26" t="str">
        <f t="shared" si="56"/>
        <v>january-2017</v>
      </c>
      <c r="H26" t="str">
        <f t="shared" si="57"/>
        <v>sunday</v>
      </c>
      <c r="I26" t="str">
        <f t="shared" si="58"/>
        <v>7</v>
      </c>
      <c r="J26">
        <f t="shared" si="59"/>
        <v>1</v>
      </c>
      <c r="K26">
        <f t="shared" si="60"/>
        <v>2</v>
      </c>
      <c r="L26" s="1">
        <f t="shared" si="61"/>
        <v>42736</v>
      </c>
      <c r="M26" s="1">
        <f t="shared" si="62"/>
        <v>42766</v>
      </c>
      <c r="N26" s="1">
        <f t="shared" si="63"/>
        <v>42802</v>
      </c>
      <c r="O26" s="1">
        <f t="shared" si="64"/>
        <v>42682</v>
      </c>
      <c r="P26" s="1">
        <f t="shared" si="46"/>
        <v>42748</v>
      </c>
      <c r="Q26" s="1">
        <f t="shared" si="47"/>
        <v>42739</v>
      </c>
      <c r="R26" s="1">
        <f t="shared" si="48"/>
        <v>43108</v>
      </c>
      <c r="S26" s="1">
        <f t="shared" si="49"/>
        <v>42377</v>
      </c>
      <c r="T26" s="2">
        <f t="shared" si="50"/>
        <v>0</v>
      </c>
      <c r="U26">
        <f t="shared" si="19"/>
        <v>0</v>
      </c>
      <c r="V26">
        <f t="shared" si="20"/>
        <v>0</v>
      </c>
      <c r="W26" s="1">
        <f t="shared" si="21"/>
        <v>42744</v>
      </c>
      <c r="X26" s="1">
        <f t="shared" si="22"/>
        <v>42744</v>
      </c>
      <c r="Y26" s="1">
        <f t="shared" si="23"/>
        <v>42742</v>
      </c>
      <c r="Z26" s="1">
        <f t="shared" si="24"/>
        <v>42742</v>
      </c>
      <c r="AA26" s="1">
        <f t="shared" si="25"/>
        <v>42841</v>
      </c>
      <c r="AB26" s="1">
        <f t="shared" si="26"/>
        <v>42737</v>
      </c>
      <c r="AC26" s="1">
        <f t="shared" si="27"/>
        <v>42737</v>
      </c>
      <c r="AD26" s="1">
        <f t="shared" si="28"/>
        <v>42766</v>
      </c>
      <c r="AE26" s="1">
        <f t="shared" si="29"/>
        <v>42766</v>
      </c>
      <c r="AF26">
        <f t="shared" si="30"/>
        <v>22</v>
      </c>
      <c r="AG26">
        <f t="shared" si="31"/>
        <v>26</v>
      </c>
    </row>
    <row r="27" spans="1:33" x14ac:dyDescent="0.25">
      <c r="A27" s="1">
        <v>42729</v>
      </c>
      <c r="B27" t="str">
        <f t="shared" si="51"/>
        <v>T4</v>
      </c>
      <c r="C27" t="str">
        <f t="shared" si="52"/>
        <v>S2</v>
      </c>
      <c r="D27" t="str">
        <f t="shared" si="53"/>
        <v>T4-2016</v>
      </c>
      <c r="E27" t="str">
        <f t="shared" si="54"/>
        <v>S2-2016</v>
      </c>
      <c r="F27" t="str">
        <f t="shared" si="55"/>
        <v>décembre</v>
      </c>
      <c r="G27" t="str">
        <f t="shared" si="56"/>
        <v>december-2016</v>
      </c>
      <c r="H27" t="str">
        <f t="shared" si="57"/>
        <v>sunday</v>
      </c>
      <c r="I27" t="str">
        <f t="shared" si="58"/>
        <v>7</v>
      </c>
      <c r="J27">
        <f t="shared" si="59"/>
        <v>51</v>
      </c>
      <c r="K27">
        <f t="shared" si="60"/>
        <v>53</v>
      </c>
      <c r="L27" s="1">
        <f t="shared" si="61"/>
        <v>42705</v>
      </c>
      <c r="M27" s="1">
        <f t="shared" si="62"/>
        <v>42735</v>
      </c>
      <c r="N27" s="1">
        <f t="shared" si="63"/>
        <v>42791</v>
      </c>
      <c r="O27" s="1">
        <f t="shared" si="64"/>
        <v>42668</v>
      </c>
      <c r="P27" s="1">
        <f t="shared" si="46"/>
        <v>42734</v>
      </c>
      <c r="Q27" s="1">
        <f t="shared" si="47"/>
        <v>42725</v>
      </c>
      <c r="R27" s="1">
        <f t="shared" si="48"/>
        <v>43094</v>
      </c>
      <c r="S27" s="1">
        <f t="shared" si="49"/>
        <v>42363</v>
      </c>
      <c r="T27" s="2">
        <f t="shared" si="50"/>
        <v>1</v>
      </c>
      <c r="U27">
        <f t="shared" si="19"/>
        <v>0</v>
      </c>
      <c r="V27">
        <f t="shared" si="20"/>
        <v>0</v>
      </c>
      <c r="W27" s="1">
        <f t="shared" si="21"/>
        <v>42730</v>
      </c>
      <c r="X27" s="1">
        <f t="shared" si="22"/>
        <v>42730</v>
      </c>
      <c r="Y27" s="1">
        <f t="shared" si="23"/>
        <v>42728</v>
      </c>
      <c r="Z27" s="1">
        <f t="shared" si="24"/>
        <v>42728</v>
      </c>
      <c r="AA27" s="1">
        <f t="shared" si="25"/>
        <v>42736</v>
      </c>
      <c r="AB27" s="1">
        <f t="shared" si="26"/>
        <v>42705</v>
      </c>
      <c r="AC27" s="1">
        <f t="shared" si="27"/>
        <v>42705</v>
      </c>
      <c r="AD27" s="1">
        <f t="shared" si="28"/>
        <v>42734</v>
      </c>
      <c r="AE27" s="1">
        <f t="shared" si="29"/>
        <v>42735</v>
      </c>
      <c r="AF27">
        <f t="shared" si="30"/>
        <v>22</v>
      </c>
      <c r="AG27">
        <f t="shared" si="31"/>
        <v>27</v>
      </c>
    </row>
    <row r="28" spans="1:33" x14ac:dyDescent="0.25">
      <c r="A28" s="1">
        <v>42735</v>
      </c>
      <c r="B28" t="str">
        <f t="shared" si="51"/>
        <v>T4</v>
      </c>
      <c r="C28" t="str">
        <f t="shared" si="52"/>
        <v>S2</v>
      </c>
      <c r="D28" t="str">
        <f t="shared" si="53"/>
        <v>T4-2016</v>
      </c>
      <c r="E28" t="str">
        <f t="shared" si="54"/>
        <v>S2-2016</v>
      </c>
      <c r="F28" t="str">
        <f t="shared" si="55"/>
        <v>décembre</v>
      </c>
      <c r="G28" t="str">
        <f t="shared" si="56"/>
        <v>december-2016</v>
      </c>
      <c r="H28" t="str">
        <f t="shared" si="57"/>
        <v>saturday</v>
      </c>
      <c r="I28" t="str">
        <f t="shared" si="58"/>
        <v>6</v>
      </c>
      <c r="J28">
        <f t="shared" si="59"/>
        <v>52</v>
      </c>
      <c r="K28">
        <f t="shared" si="60"/>
        <v>53</v>
      </c>
      <c r="L28" s="1">
        <f t="shared" si="61"/>
        <v>42705</v>
      </c>
      <c r="M28" s="1">
        <f t="shared" si="62"/>
        <v>42735</v>
      </c>
      <c r="N28" s="1">
        <f t="shared" si="63"/>
        <v>42794</v>
      </c>
      <c r="O28" s="1">
        <f t="shared" si="64"/>
        <v>42674</v>
      </c>
      <c r="P28" s="1">
        <f t="shared" si="46"/>
        <v>42740</v>
      </c>
      <c r="Q28" s="1">
        <f t="shared" si="47"/>
        <v>42731</v>
      </c>
      <c r="R28" s="1">
        <f t="shared" si="48"/>
        <v>43100</v>
      </c>
      <c r="S28" s="1">
        <f t="shared" si="49"/>
        <v>42369</v>
      </c>
      <c r="T28" s="2">
        <f t="shared" si="50"/>
        <v>0</v>
      </c>
      <c r="U28">
        <f t="shared" si="19"/>
        <v>0</v>
      </c>
      <c r="V28">
        <f t="shared" si="20"/>
        <v>1</v>
      </c>
      <c r="W28" s="1">
        <f t="shared" si="21"/>
        <v>42737</v>
      </c>
      <c r="X28" s="1">
        <f t="shared" si="22"/>
        <v>42735</v>
      </c>
      <c r="Y28" s="1">
        <f t="shared" si="23"/>
        <v>42734</v>
      </c>
      <c r="Z28" s="1">
        <f t="shared" si="24"/>
        <v>42734</v>
      </c>
      <c r="AA28" s="1">
        <f t="shared" si="25"/>
        <v>42736</v>
      </c>
      <c r="AB28" s="1">
        <f t="shared" si="26"/>
        <v>42705</v>
      </c>
      <c r="AC28" s="1">
        <f t="shared" si="27"/>
        <v>42705</v>
      </c>
      <c r="AD28" s="1">
        <f t="shared" si="28"/>
        <v>42734</v>
      </c>
      <c r="AE28" s="1">
        <f t="shared" si="29"/>
        <v>42735</v>
      </c>
      <c r="AF28">
        <f t="shared" si="30"/>
        <v>22</v>
      </c>
      <c r="AG28">
        <f t="shared" si="31"/>
        <v>27</v>
      </c>
    </row>
    <row r="29" spans="1:33" x14ac:dyDescent="0.25">
      <c r="A29" s="1">
        <v>42891</v>
      </c>
      <c r="B29" t="str">
        <f t="shared" ref="B29" si="134">Quarter(A29,"FR")</f>
        <v>T2</v>
      </c>
      <c r="C29" t="str">
        <f t="shared" ref="C29" si="135">SEMESTER(A29)</f>
        <v>S1</v>
      </c>
      <c r="D29" t="str">
        <f t="shared" ref="D29" si="136">QUARTERYEAR(A29,"FR")</f>
        <v>T2-2017</v>
      </c>
      <c r="E29" t="str">
        <f t="shared" ref="E29" si="137">SEMESTERYEAR(A29)</f>
        <v>S1-2017</v>
      </c>
      <c r="F29" t="str">
        <f t="shared" ref="F29" si="138">MONTHTEXT(A29,"FR")</f>
        <v>juin</v>
      </c>
      <c r="G29" t="str">
        <f t="shared" ref="G29" si="139">MONTHYEAR(A29,"EN")</f>
        <v>june-2017</v>
      </c>
      <c r="H29" t="str">
        <f t="shared" ref="H29" si="140">DayWeek(A29)</f>
        <v>monday</v>
      </c>
      <c r="I29" t="str">
        <f t="shared" ref="I29" si="141">NumDayWeek(A29)</f>
        <v>1</v>
      </c>
      <c r="J29">
        <f t="shared" ref="J29" si="142">NumWeekYearEuro(A29)</f>
        <v>23</v>
      </c>
      <c r="K29">
        <f t="shared" ref="K29" si="143">NumWeekYearDefault(A29)</f>
        <v>23</v>
      </c>
      <c r="L29" s="1">
        <f t="shared" ref="L29" si="144">BeginMonth(A29)</f>
        <v>42887</v>
      </c>
      <c r="M29" s="1">
        <f t="shared" ref="M29" si="145">EndMonth(A29)</f>
        <v>42916</v>
      </c>
      <c r="N29" s="1">
        <f t="shared" ref="N29" si="146">AddMonth(A29,2)</f>
        <v>42952</v>
      </c>
      <c r="O29" s="1">
        <f t="shared" ref="O29" si="147">AddMonth(A29,-2)</f>
        <v>42830</v>
      </c>
      <c r="P29" s="1">
        <f t="shared" ref="P29" si="148">AddDay(A29,5)</f>
        <v>42896</v>
      </c>
      <c r="Q29" s="1">
        <f t="shared" ref="Q29" si="149">AddDay(A29,-4)</f>
        <v>42887</v>
      </c>
      <c r="R29" s="1">
        <f t="shared" ref="R29" si="150">AddYear(A29,1)</f>
        <v>43256</v>
      </c>
      <c r="S29" s="1">
        <f t="shared" ref="S29" si="151">AddYear(A29,-1)</f>
        <v>42526</v>
      </c>
      <c r="T29" s="2">
        <f t="shared" ref="T29" si="152">PublicHolidayFr(A29)</f>
        <v>1</v>
      </c>
      <c r="U29">
        <f t="shared" ref="U29" si="153">WorkingDay(A29)</f>
        <v>0</v>
      </c>
      <c r="V29">
        <f t="shared" ref="V29" si="154">WorkableDay(A29)</f>
        <v>0</v>
      </c>
      <c r="W29" s="1">
        <f t="shared" ref="W29" si="155">NextWorkingDay(A29)</f>
        <v>42892</v>
      </c>
      <c r="X29" s="1">
        <f t="shared" ref="X29" si="156">NextWorkableDay(A29)</f>
        <v>42892</v>
      </c>
      <c r="Y29" s="1">
        <f t="shared" ref="Y29" si="157">PrevWorkingDay(A29)</f>
        <v>42889</v>
      </c>
      <c r="Z29" s="1">
        <f t="shared" ref="Z29" si="158">PrevWorkableDay(A29)</f>
        <v>42889</v>
      </c>
      <c r="AA29" s="1">
        <f t="shared" ref="AA29" si="159">NextPublicHoliday(A29)</f>
        <v>42930</v>
      </c>
      <c r="AB29" s="1">
        <f t="shared" si="26"/>
        <v>42887</v>
      </c>
      <c r="AC29" s="1">
        <f t="shared" si="27"/>
        <v>42887</v>
      </c>
      <c r="AD29" s="1">
        <f t="shared" si="28"/>
        <v>42916</v>
      </c>
      <c r="AE29" s="1">
        <f t="shared" si="29"/>
        <v>42916</v>
      </c>
      <c r="AF29">
        <f t="shared" si="30"/>
        <v>21</v>
      </c>
      <c r="AG29">
        <f t="shared" si="31"/>
        <v>25</v>
      </c>
    </row>
    <row r="30" spans="1:33" x14ac:dyDescent="0.25">
      <c r="A30" s="1">
        <v>42931</v>
      </c>
      <c r="B30" t="str">
        <f t="shared" ref="B30" si="160">Quarter(A30,"FR")</f>
        <v>T3</v>
      </c>
      <c r="C30" t="str">
        <f t="shared" ref="C30" si="161">SEMESTER(A30)</f>
        <v>S2</v>
      </c>
      <c r="D30" t="str">
        <f t="shared" ref="D30" si="162">QUARTERYEAR(A30,"FR")</f>
        <v>T3-2017</v>
      </c>
      <c r="E30" t="str">
        <f t="shared" ref="E30" si="163">SEMESTERYEAR(A30)</f>
        <v>S2-2017</v>
      </c>
      <c r="F30" t="str">
        <f t="shared" ref="F30" si="164">MONTHTEXT(A30,"FR")</f>
        <v>juillet</v>
      </c>
      <c r="G30" t="str">
        <f t="shared" ref="G30" si="165">MONTHYEAR(A30,"EN")</f>
        <v>july-2017</v>
      </c>
      <c r="H30" t="str">
        <f t="shared" ref="H30" si="166">DayWeek(A30)</f>
        <v>saturday</v>
      </c>
      <c r="I30" t="str">
        <f t="shared" ref="I30" si="167">NumDayWeek(A30)</f>
        <v>6</v>
      </c>
      <c r="J30">
        <f t="shared" ref="J30" si="168">NumWeekYearEuro(A30)</f>
        <v>28</v>
      </c>
      <c r="K30">
        <f t="shared" ref="K30" si="169">NumWeekYearDefault(A30)</f>
        <v>28</v>
      </c>
      <c r="L30" s="1">
        <f t="shared" ref="L30" si="170">BeginMonth(A30)</f>
        <v>42917</v>
      </c>
      <c r="M30" s="1">
        <f t="shared" ref="M30" si="171">EndMonth(A30)</f>
        <v>42947</v>
      </c>
      <c r="N30" s="1">
        <f t="shared" ref="N30" si="172">AddMonth(A30,2)</f>
        <v>42993</v>
      </c>
      <c r="O30" s="1">
        <f t="shared" ref="O30" si="173">AddMonth(A30,-2)</f>
        <v>42870</v>
      </c>
      <c r="P30" s="1">
        <f t="shared" ref="P30" si="174">AddDay(A30,5)</f>
        <v>42936</v>
      </c>
      <c r="Q30" s="1">
        <f t="shared" ref="Q30" si="175">AddDay(A30,-4)</f>
        <v>42927</v>
      </c>
      <c r="R30" s="1">
        <f t="shared" ref="R30" si="176">AddYear(A30,1)</f>
        <v>43296</v>
      </c>
      <c r="S30" s="1">
        <f t="shared" ref="S30" si="177">AddYear(A30,-1)</f>
        <v>42566</v>
      </c>
      <c r="T30" s="2">
        <f t="shared" ref="T30" si="178">PublicHolidayFr(A30)</f>
        <v>0</v>
      </c>
      <c r="U30">
        <f t="shared" ref="U30" si="179">WorkingDay(A30)</f>
        <v>0</v>
      </c>
      <c r="V30">
        <f t="shared" ref="V30" si="180">WorkableDay(A30)</f>
        <v>1</v>
      </c>
      <c r="W30" s="1">
        <f t="shared" ref="W30" si="181">NextWorkingDay(A30)</f>
        <v>42933</v>
      </c>
      <c r="X30" s="1">
        <f t="shared" ref="X30" si="182">NextWorkableDay(A30)</f>
        <v>42931</v>
      </c>
      <c r="Y30" s="1">
        <f t="shared" ref="Y30" si="183">PrevWorkingDay(A30)</f>
        <v>42929</v>
      </c>
      <c r="Z30" s="1">
        <f t="shared" ref="Z30" si="184">PrevWorkableDay(A30)</f>
        <v>42929</v>
      </c>
      <c r="AA30" s="1">
        <f t="shared" ref="AA30" si="185">NextPublicHoliday(A30)</f>
        <v>42962</v>
      </c>
      <c r="AB30" s="1">
        <f t="shared" si="26"/>
        <v>42919</v>
      </c>
      <c r="AC30" s="1">
        <f t="shared" si="27"/>
        <v>42917</v>
      </c>
      <c r="AD30" s="1">
        <f t="shared" si="28"/>
        <v>42947</v>
      </c>
      <c r="AE30" s="1">
        <f t="shared" si="29"/>
        <v>42947</v>
      </c>
      <c r="AF30">
        <f t="shared" si="30"/>
        <v>20</v>
      </c>
      <c r="AG30">
        <f t="shared" si="31"/>
        <v>25</v>
      </c>
    </row>
    <row r="31" spans="1:33" x14ac:dyDescent="0.25">
      <c r="B31" t="str">
        <f t="shared" si="51"/>
        <v>T2</v>
      </c>
      <c r="C31" t="str">
        <f t="shared" si="52"/>
        <v>S1</v>
      </c>
      <c r="D31" t="str">
        <f t="shared" si="53"/>
        <v>T2-2017</v>
      </c>
      <c r="E31" t="str">
        <f t="shared" si="54"/>
        <v>S1-2017</v>
      </c>
      <c r="F31" t="str">
        <f t="shared" si="55"/>
        <v>avril</v>
      </c>
      <c r="G31" t="str">
        <f t="shared" si="56"/>
        <v>april-2017</v>
      </c>
      <c r="H31" t="str">
        <f t="shared" si="57"/>
        <v>wednesday</v>
      </c>
      <c r="I31" t="str">
        <f t="shared" si="58"/>
        <v>3</v>
      </c>
      <c r="J31">
        <f t="shared" si="59"/>
        <v>15</v>
      </c>
      <c r="K31">
        <f t="shared" si="60"/>
        <v>15</v>
      </c>
      <c r="L31" s="1">
        <f t="shared" si="61"/>
        <v>42826</v>
      </c>
      <c r="M31" s="1">
        <f t="shared" si="62"/>
        <v>42855</v>
      </c>
      <c r="N31" s="1">
        <f t="shared" si="63"/>
        <v>42898</v>
      </c>
      <c r="O31" s="1">
        <f t="shared" si="64"/>
        <v>42778</v>
      </c>
      <c r="P31" s="1">
        <f t="shared" si="46"/>
        <v>42842</v>
      </c>
      <c r="Q31" s="1">
        <f t="shared" si="47"/>
        <v>42833</v>
      </c>
      <c r="R31" s="1">
        <f t="shared" si="48"/>
        <v>43202</v>
      </c>
      <c r="S31" s="1">
        <f t="shared" si="49"/>
        <v>42472</v>
      </c>
      <c r="T31" s="2">
        <f t="shared" si="50"/>
        <v>0</v>
      </c>
      <c r="U31">
        <f t="shared" si="19"/>
        <v>1</v>
      </c>
      <c r="V31">
        <f t="shared" si="20"/>
        <v>1</v>
      </c>
      <c r="W31" s="1">
        <f t="shared" si="21"/>
        <v>42837</v>
      </c>
      <c r="X31" s="1">
        <f t="shared" si="22"/>
        <v>42837</v>
      </c>
      <c r="Y31" s="1">
        <f t="shared" si="23"/>
        <v>42836</v>
      </c>
      <c r="Z31" s="1">
        <f t="shared" si="24"/>
        <v>42836</v>
      </c>
      <c r="AA31" s="1">
        <f t="shared" si="25"/>
        <v>42841</v>
      </c>
      <c r="AB31" s="1">
        <f t="shared" si="26"/>
        <v>42828</v>
      </c>
      <c r="AC31" s="1">
        <f t="shared" si="27"/>
        <v>42826</v>
      </c>
      <c r="AD31" s="1">
        <f t="shared" si="28"/>
        <v>42854</v>
      </c>
      <c r="AE31" s="1">
        <f t="shared" si="29"/>
        <v>42854</v>
      </c>
      <c r="AF31">
        <f t="shared" si="30"/>
        <v>19</v>
      </c>
      <c r="AG31">
        <f t="shared" si="31"/>
        <v>24</v>
      </c>
    </row>
    <row r="36" spans="2:8" x14ac:dyDescent="0.25">
      <c r="B36" s="9"/>
      <c r="C36" s="9"/>
      <c r="D36" s="9" t="s">
        <v>35</v>
      </c>
      <c r="E36" s="9" t="s">
        <v>36</v>
      </c>
      <c r="F36" s="9" t="s">
        <v>38</v>
      </c>
      <c r="G36" s="9" t="s">
        <v>39</v>
      </c>
      <c r="H36" s="9" t="s">
        <v>37</v>
      </c>
    </row>
    <row r="37" spans="2:8" x14ac:dyDescent="0.25">
      <c r="B37" s="9" t="s">
        <v>33</v>
      </c>
      <c r="C37" s="10">
        <f>A4</f>
        <v>42795</v>
      </c>
      <c r="D37" s="9">
        <f>NumberWorkinDay(C37,C38)</f>
        <v>42</v>
      </c>
      <c r="E37" s="9">
        <f>NumberWorkableDay(C37,C38)</f>
        <v>51</v>
      </c>
      <c r="F37" s="11">
        <f>DateDiffDay(C37,C38)</f>
        <v>60</v>
      </c>
      <c r="G37" s="11">
        <f>DateDiffMonth(C37,C38)</f>
        <v>1</v>
      </c>
      <c r="H37" s="11">
        <f>DateDiffYear(C37,C38)</f>
        <v>0</v>
      </c>
    </row>
    <row r="38" spans="2:8" x14ac:dyDescent="0.25">
      <c r="B38" s="9" t="s">
        <v>34</v>
      </c>
      <c r="C38" s="10">
        <v>42855</v>
      </c>
      <c r="D38" s="9">
        <f t="shared" ref="D38:D43" si="186">NumberWorkinDay(C38,C39)</f>
        <v>0</v>
      </c>
      <c r="E38" s="9">
        <f t="shared" ref="E38:E41" si="187">NumberWorkableDay(C38,C39)</f>
        <v>0</v>
      </c>
      <c r="F38" s="11">
        <f t="shared" ref="F38:F41" si="188">DateDiffDay(C38,C39)</f>
        <v>1</v>
      </c>
      <c r="G38" s="11">
        <f t="shared" ref="G38:G39" si="189">DateDiffMonth(C38,C39)</f>
        <v>1</v>
      </c>
      <c r="H38" s="11">
        <f t="shared" ref="H38:H41" si="190">DateDiffYear(C38,C39)</f>
        <v>0</v>
      </c>
    </row>
    <row r="39" spans="2:8" x14ac:dyDescent="0.25">
      <c r="B39" s="9"/>
      <c r="C39" s="10">
        <v>42856</v>
      </c>
      <c r="D39" s="9">
        <f t="shared" si="186"/>
        <v>9</v>
      </c>
      <c r="E39" s="9">
        <f t="shared" si="187"/>
        <v>11</v>
      </c>
      <c r="F39" s="11">
        <f t="shared" si="188"/>
        <v>14</v>
      </c>
      <c r="G39" s="11">
        <f t="shared" si="189"/>
        <v>0</v>
      </c>
      <c r="H39" s="11">
        <f t="shared" si="190"/>
        <v>0</v>
      </c>
    </row>
    <row r="40" spans="2:8" x14ac:dyDescent="0.25">
      <c r="B40" s="9"/>
      <c r="C40" s="10">
        <v>42870</v>
      </c>
      <c r="D40" s="9">
        <f t="shared" si="186"/>
        <v>12</v>
      </c>
      <c r="E40" s="9">
        <f t="shared" si="187"/>
        <v>14</v>
      </c>
      <c r="F40" s="11">
        <f t="shared" si="188"/>
        <v>16</v>
      </c>
      <c r="G40" s="11">
        <f>DateDiffMonth(C40,C41)</f>
        <v>0</v>
      </c>
      <c r="H40" s="11">
        <f t="shared" si="190"/>
        <v>0</v>
      </c>
    </row>
    <row r="41" spans="2:8" x14ac:dyDescent="0.25">
      <c r="B41" s="9"/>
      <c r="C41" s="10">
        <v>42886</v>
      </c>
      <c r="D41" s="9">
        <f t="shared" si="186"/>
        <v>2</v>
      </c>
      <c r="E41" s="9">
        <f t="shared" si="187"/>
        <v>2</v>
      </c>
      <c r="F41" s="11">
        <f t="shared" si="188"/>
        <v>1</v>
      </c>
      <c r="G41" s="11">
        <f>DateDiffMonth(C41,C42)</f>
        <v>1</v>
      </c>
      <c r="H41" s="11">
        <f t="shared" si="190"/>
        <v>0</v>
      </c>
    </row>
    <row r="42" spans="2:8" x14ac:dyDescent="0.25">
      <c r="B42" s="9"/>
      <c r="C42" s="10">
        <v>42887</v>
      </c>
      <c r="D42" s="9">
        <f t="shared" si="186"/>
        <v>251</v>
      </c>
      <c r="E42" s="9">
        <f t="shared" ref="E42" si="191">NumberWorkableDay(C42,C43)</f>
        <v>302</v>
      </c>
      <c r="F42" s="11">
        <f t="shared" ref="F42" si="192">DateDiffDay(C42,C43)</f>
        <v>365</v>
      </c>
      <c r="G42" s="11">
        <f>DateDiffMonth(C42,C43)</f>
        <v>12</v>
      </c>
      <c r="H42" s="11">
        <f t="shared" ref="H42" si="193">DateDiffYear(C42,C43)</f>
        <v>1</v>
      </c>
    </row>
    <row r="43" spans="2:8" x14ac:dyDescent="0.25">
      <c r="B43" s="9"/>
      <c r="C43" s="10">
        <v>43252</v>
      </c>
      <c r="D43" s="9">
        <f t="shared" si="186"/>
        <v>1</v>
      </c>
      <c r="E43" s="9">
        <f t="shared" ref="E43" si="194">NumberWorkableDay(C43,C44)</f>
        <v>2</v>
      </c>
      <c r="F43" s="11">
        <f t="shared" ref="F43" si="195">DateDiffDay(C43,C44)</f>
        <v>1</v>
      </c>
      <c r="G43" s="11">
        <f>DateDiffMonth(C43,C44)</f>
        <v>0</v>
      </c>
      <c r="H43" s="11">
        <f t="shared" ref="H43" si="196">DateDiffYear(C43,C44)</f>
        <v>0</v>
      </c>
    </row>
    <row r="44" spans="2:8" x14ac:dyDescent="0.25">
      <c r="B44" s="9"/>
      <c r="C44" s="10">
        <v>43253</v>
      </c>
      <c r="D44" s="9"/>
      <c r="E44" s="9"/>
      <c r="F44" s="9"/>
      <c r="G44" s="9"/>
      <c r="H44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Date Functions Examples</vt:lpstr>
    </vt:vector>
  </TitlesOfParts>
  <Company>Euro Information client principal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Nicolas</dc:creator>
  <cp:lastModifiedBy>DUPONT Nicolas</cp:lastModifiedBy>
  <dcterms:created xsi:type="dcterms:W3CDTF">2017-04-06T09:44:42Z</dcterms:created>
  <dcterms:modified xsi:type="dcterms:W3CDTF">2017-04-12T15:20:02Z</dcterms:modified>
</cp:coreProperties>
</file>