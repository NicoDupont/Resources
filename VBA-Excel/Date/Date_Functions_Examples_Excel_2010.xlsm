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40" yWindow="540" windowWidth="25875" windowHeight="12435"/>
  </bookViews>
  <sheets>
    <sheet name="Date Functions Exampl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41" i="1" l="1"/>
  <c r="AL5" i="1"/>
  <c r="AL9" i="1"/>
  <c r="AL13" i="1"/>
  <c r="AL17" i="1"/>
  <c r="AL21" i="1"/>
  <c r="AL25" i="1"/>
  <c r="AL29" i="1"/>
  <c r="AL33" i="1"/>
  <c r="AL6" i="1"/>
  <c r="AL10" i="1"/>
  <c r="AL14" i="1"/>
  <c r="AL18" i="1"/>
  <c r="AL22" i="1"/>
  <c r="AL26" i="1"/>
  <c r="AL30" i="1"/>
  <c r="AL34" i="1"/>
  <c r="AL7" i="1"/>
  <c r="AL11" i="1"/>
  <c r="AL15" i="1"/>
  <c r="AL19" i="1"/>
  <c r="AL23" i="1"/>
  <c r="AL27" i="1"/>
  <c r="AL31" i="1"/>
  <c r="AL35" i="1"/>
  <c r="AL8" i="1"/>
  <c r="AL12" i="1"/>
  <c r="AL16" i="1"/>
  <c r="AL20" i="1"/>
  <c r="AL24" i="1"/>
  <c r="AL28" i="1"/>
  <c r="AL32" i="1"/>
  <c r="AL4" i="1"/>
  <c r="AN5" i="1"/>
  <c r="AN9" i="1"/>
  <c r="AN13" i="1"/>
  <c r="AN17" i="1"/>
  <c r="AN21" i="1"/>
  <c r="AN25" i="1"/>
  <c r="AN29" i="1"/>
  <c r="AN33" i="1"/>
  <c r="AN6" i="1"/>
  <c r="AN10" i="1"/>
  <c r="AN18" i="1"/>
  <c r="AN22" i="1"/>
  <c r="AN26" i="1"/>
  <c r="AN30" i="1"/>
  <c r="AN34" i="1"/>
  <c r="AN7" i="1"/>
  <c r="AN11" i="1"/>
  <c r="AN15" i="1"/>
  <c r="AN19" i="1"/>
  <c r="AN23" i="1"/>
  <c r="AN31" i="1"/>
  <c r="AN8" i="1"/>
  <c r="AN16" i="1"/>
  <c r="AN20" i="1"/>
  <c r="AN28" i="1"/>
  <c r="AN14" i="1"/>
  <c r="AN12" i="1"/>
  <c r="AN24" i="1"/>
  <c r="AN32" i="1"/>
  <c r="B34" i="1"/>
  <c r="F34" i="1"/>
  <c r="J34" i="1"/>
  <c r="N34" i="1"/>
  <c r="R34" i="1"/>
  <c r="V34" i="1"/>
  <c r="Z34" i="1"/>
  <c r="AD34" i="1"/>
  <c r="AH34" i="1"/>
  <c r="C34" i="1"/>
  <c r="G34" i="1"/>
  <c r="K34" i="1"/>
  <c r="O34" i="1"/>
  <c r="S34" i="1"/>
  <c r="W34" i="1"/>
  <c r="AA34" i="1"/>
  <c r="AE34" i="1"/>
  <c r="D34" i="1"/>
  <c r="H34" i="1"/>
  <c r="L34" i="1"/>
  <c r="P34" i="1"/>
  <c r="T34" i="1"/>
  <c r="X34" i="1"/>
  <c r="AB34" i="1"/>
  <c r="AF34" i="1"/>
  <c r="AJ34" i="1"/>
  <c r="E34" i="1"/>
  <c r="I34" i="1"/>
  <c r="M34" i="1"/>
  <c r="Q34" i="1"/>
  <c r="U34" i="1"/>
  <c r="Y34" i="1"/>
  <c r="AC34" i="1"/>
  <c r="AG34" i="1"/>
  <c r="AK34" i="1"/>
  <c r="AI34" i="1"/>
  <c r="AN4" i="1"/>
  <c r="B11" i="1"/>
  <c r="F11" i="1"/>
  <c r="J11" i="1"/>
  <c r="N11" i="1"/>
  <c r="R11" i="1"/>
  <c r="V11" i="1"/>
  <c r="Z11" i="1"/>
  <c r="AD11" i="1"/>
  <c r="AH11" i="1"/>
  <c r="C11" i="1"/>
  <c r="G11" i="1"/>
  <c r="K11" i="1"/>
  <c r="O11" i="1"/>
  <c r="S11" i="1"/>
  <c r="W11" i="1"/>
  <c r="AA11" i="1"/>
  <c r="AE11" i="1"/>
  <c r="AI11" i="1"/>
  <c r="D11" i="1"/>
  <c r="H11" i="1"/>
  <c r="L11" i="1"/>
  <c r="P11" i="1"/>
  <c r="T11" i="1"/>
  <c r="X11" i="1"/>
  <c r="AB11" i="1"/>
  <c r="AF11" i="1"/>
  <c r="AJ11" i="1"/>
  <c r="E11" i="1"/>
  <c r="I11" i="1"/>
  <c r="M11" i="1"/>
  <c r="Q11" i="1"/>
  <c r="U11" i="1"/>
  <c r="Y11" i="1"/>
  <c r="AC11" i="1"/>
  <c r="AG11" i="1"/>
  <c r="AK11" i="1"/>
  <c r="B13" i="1"/>
  <c r="F13" i="1"/>
  <c r="J13" i="1"/>
  <c r="N13" i="1"/>
  <c r="R13" i="1"/>
  <c r="V13" i="1"/>
  <c r="Z13" i="1"/>
  <c r="AD13" i="1"/>
  <c r="AH13" i="1"/>
  <c r="E14" i="1"/>
  <c r="I14" i="1"/>
  <c r="M14" i="1"/>
  <c r="Q14" i="1"/>
  <c r="U14" i="1"/>
  <c r="Y14" i="1"/>
  <c r="AC14" i="1"/>
  <c r="AG14" i="1"/>
  <c r="C13" i="1"/>
  <c r="G13" i="1"/>
  <c r="K13" i="1"/>
  <c r="O13" i="1"/>
  <c r="S13" i="1"/>
  <c r="W13" i="1"/>
  <c r="AA13" i="1"/>
  <c r="AE13" i="1"/>
  <c r="AI13" i="1"/>
  <c r="B14" i="1"/>
  <c r="F14" i="1"/>
  <c r="N14" i="1"/>
  <c r="R14" i="1"/>
  <c r="Z14" i="1"/>
  <c r="AH14" i="1"/>
  <c r="D13" i="1"/>
  <c r="H13" i="1"/>
  <c r="L13" i="1"/>
  <c r="P13" i="1"/>
  <c r="T13" i="1"/>
  <c r="X13" i="1"/>
  <c r="AB13" i="1"/>
  <c r="AF13" i="1"/>
  <c r="AJ13" i="1"/>
  <c r="C14" i="1"/>
  <c r="G14" i="1"/>
  <c r="K14" i="1"/>
  <c r="O14" i="1"/>
  <c r="S14" i="1"/>
  <c r="W14" i="1"/>
  <c r="AA14" i="1"/>
  <c r="AE14" i="1"/>
  <c r="AI14" i="1"/>
  <c r="E13" i="1"/>
  <c r="I13" i="1"/>
  <c r="M13" i="1"/>
  <c r="Q13" i="1"/>
  <c r="U13" i="1"/>
  <c r="Y13" i="1"/>
  <c r="AC13" i="1"/>
  <c r="AG13" i="1"/>
  <c r="AK13" i="1"/>
  <c r="D14" i="1"/>
  <c r="H14" i="1"/>
  <c r="L14" i="1"/>
  <c r="P14" i="1"/>
  <c r="T14" i="1"/>
  <c r="X14" i="1"/>
  <c r="AB14" i="1"/>
  <c r="AF14" i="1"/>
  <c r="AJ14" i="1"/>
  <c r="AK14" i="1" s="1"/>
  <c r="J14" i="1"/>
  <c r="V14" i="1"/>
  <c r="AD14" i="1"/>
  <c r="AJ5" i="1"/>
  <c r="AK5" i="1" s="1"/>
  <c r="AJ9" i="1"/>
  <c r="AK9" i="1" s="1"/>
  <c r="AJ16" i="1"/>
  <c r="AK16" i="1" s="1"/>
  <c r="AJ20" i="1"/>
  <c r="AK20" i="1" s="1"/>
  <c r="AJ24" i="1"/>
  <c r="AK24" i="1" s="1"/>
  <c r="AJ28" i="1"/>
  <c r="AK28" i="1" s="1"/>
  <c r="AJ32" i="1"/>
  <c r="AK32" i="1" s="1"/>
  <c r="AJ6" i="1"/>
  <c r="AK6" i="1" s="1"/>
  <c r="AJ10" i="1"/>
  <c r="AK10" i="1" s="1"/>
  <c r="AJ17" i="1"/>
  <c r="AK17" i="1" s="1"/>
  <c r="AJ21" i="1"/>
  <c r="AK21" i="1" s="1"/>
  <c r="AJ25" i="1"/>
  <c r="AK25" i="1" s="1"/>
  <c r="AJ29" i="1"/>
  <c r="AK29" i="1" s="1"/>
  <c r="AJ7" i="1"/>
  <c r="AK7" i="1" s="1"/>
  <c r="AJ12" i="1"/>
  <c r="AK12" i="1" s="1"/>
  <c r="AJ18" i="1"/>
  <c r="AK18" i="1" s="1"/>
  <c r="AJ22" i="1"/>
  <c r="AK22" i="1" s="1"/>
  <c r="AJ26" i="1"/>
  <c r="AK26" i="1" s="1"/>
  <c r="AJ30" i="1"/>
  <c r="AK30" i="1" s="1"/>
  <c r="AJ35" i="1"/>
  <c r="AK35" i="1" s="1"/>
  <c r="AJ8" i="1"/>
  <c r="AK8" i="1" s="1"/>
  <c r="AJ15" i="1"/>
  <c r="AK15" i="1" s="1"/>
  <c r="AJ19" i="1"/>
  <c r="AK19" i="1" s="1"/>
  <c r="AJ23" i="1"/>
  <c r="AK23" i="1" s="1"/>
  <c r="AJ31" i="1"/>
  <c r="AK31" i="1" s="1"/>
  <c r="AJ33" i="1"/>
  <c r="AK33" i="1" s="1"/>
  <c r="AJ4" i="1"/>
  <c r="AK4" i="1" s="1"/>
  <c r="I5" i="1"/>
  <c r="I9" i="1"/>
  <c r="I16" i="1"/>
  <c r="I20" i="1"/>
  <c r="I24" i="1"/>
  <c r="I28" i="1"/>
  <c r="I32" i="1"/>
  <c r="I7" i="1"/>
  <c r="I18" i="1"/>
  <c r="I26" i="1"/>
  <c r="I8" i="1"/>
  <c r="I19" i="1"/>
  <c r="I6" i="1"/>
  <c r="I10" i="1"/>
  <c r="I17" i="1"/>
  <c r="I21" i="1"/>
  <c r="I25" i="1"/>
  <c r="I29" i="1"/>
  <c r="I33" i="1"/>
  <c r="I12" i="1"/>
  <c r="I22" i="1"/>
  <c r="I30" i="1"/>
  <c r="I35" i="1"/>
  <c r="I15" i="1"/>
  <c r="I23" i="1"/>
  <c r="I31" i="1"/>
  <c r="I4" i="1"/>
  <c r="H5" i="1"/>
  <c r="H9" i="1"/>
  <c r="H16" i="1"/>
  <c r="H20" i="1"/>
  <c r="H24" i="1"/>
  <c r="H28" i="1"/>
  <c r="H32" i="1"/>
  <c r="H12" i="1"/>
  <c r="H22" i="1"/>
  <c r="H30" i="1"/>
  <c r="H8" i="1"/>
  <c r="H19" i="1"/>
  <c r="H6" i="1"/>
  <c r="H10" i="1"/>
  <c r="H17" i="1"/>
  <c r="H21" i="1"/>
  <c r="H25" i="1"/>
  <c r="H29" i="1"/>
  <c r="H33" i="1"/>
  <c r="H7" i="1"/>
  <c r="H18" i="1"/>
  <c r="H26" i="1"/>
  <c r="H35" i="1"/>
  <c r="H15" i="1"/>
  <c r="H23" i="1"/>
  <c r="H31" i="1"/>
  <c r="H4" i="1"/>
  <c r="F46" i="1"/>
  <c r="G42" i="1"/>
  <c r="E45" i="1"/>
  <c r="D46" i="1"/>
  <c r="D44" i="1"/>
  <c r="D47" i="1"/>
  <c r="D43" i="1"/>
  <c r="D41" i="1"/>
  <c r="E43" i="1"/>
  <c r="G41" i="1"/>
  <c r="F41" i="1"/>
  <c r="F45" i="1"/>
  <c r="D45" i="1"/>
  <c r="H47" i="1"/>
  <c r="G46" i="1"/>
  <c r="E42" i="1"/>
  <c r="G43" i="1"/>
  <c r="H41" i="1"/>
  <c r="G44" i="1"/>
  <c r="H45" i="1"/>
  <c r="F43" i="1"/>
  <c r="H46" i="1"/>
  <c r="E44" i="1"/>
  <c r="E46" i="1"/>
  <c r="H44" i="1"/>
  <c r="F47" i="1"/>
  <c r="H43" i="1"/>
  <c r="F44" i="1"/>
  <c r="H42" i="1"/>
  <c r="G45" i="1"/>
  <c r="E47" i="1"/>
  <c r="F42" i="1"/>
  <c r="G47" i="1"/>
  <c r="E41" i="1"/>
  <c r="D42" i="1"/>
  <c r="A27" i="1" l="1"/>
  <c r="AN27" i="1"/>
  <c r="AJ27" i="1"/>
  <c r="AK27" i="1" s="1"/>
  <c r="I27" i="1"/>
  <c r="H27" i="1"/>
  <c r="AH32" i="1"/>
  <c r="AH35" i="1"/>
  <c r="AI9" i="1"/>
  <c r="AF35" i="1"/>
  <c r="AD18" i="1"/>
  <c r="AE24" i="1"/>
  <c r="AG18" i="1"/>
  <c r="AE31" i="1"/>
  <c r="AF28" i="1"/>
  <c r="AD21" i="1"/>
  <c r="AC9" i="1"/>
  <c r="AA21" i="1"/>
  <c r="V8" i="1"/>
  <c r="P6" i="1"/>
  <c r="X9" i="1"/>
  <c r="J33" i="1"/>
  <c r="AB9" i="1"/>
  <c r="V21" i="1"/>
  <c r="AA10" i="1"/>
  <c r="AH9" i="1"/>
  <c r="AH21" i="1"/>
  <c r="AH23" i="1"/>
  <c r="AI28" i="1"/>
  <c r="AF10" i="1"/>
  <c r="AD23" i="1"/>
  <c r="AE10" i="1"/>
  <c r="AG35" i="1"/>
  <c r="AD16" i="1"/>
  <c r="AF26" i="1"/>
  <c r="AD7" i="1"/>
  <c r="AC28" i="1"/>
  <c r="AA12" i="1"/>
  <c r="E21" i="1"/>
  <c r="V20" i="1"/>
  <c r="X16" i="1"/>
  <c r="Z33" i="1"/>
  <c r="AB28" i="1"/>
  <c r="L19" i="1"/>
  <c r="AA30" i="1"/>
  <c r="U21" i="1"/>
  <c r="Z25" i="1"/>
  <c r="D32" i="1"/>
  <c r="B6" i="1"/>
  <c r="V35" i="1"/>
  <c r="Y18" i="1"/>
  <c r="AB18" i="1"/>
  <c r="D6" i="1"/>
  <c r="W35" i="1"/>
  <c r="G33" i="1"/>
  <c r="U5" i="1"/>
  <c r="E6" i="1"/>
  <c r="AI35" i="1"/>
  <c r="AH24" i="1"/>
  <c r="AE19" i="1"/>
  <c r="AD29" i="1"/>
  <c r="AG10" i="1"/>
  <c r="P32" i="1"/>
  <c r="N20" i="1"/>
  <c r="Y9" i="1"/>
  <c r="AC16" i="1"/>
  <c r="AC17" i="1"/>
  <c r="B5" i="1"/>
  <c r="Z35" i="1"/>
  <c r="V4" i="1"/>
  <c r="W24" i="1"/>
  <c r="R32" i="1"/>
  <c r="K25" i="1"/>
  <c r="X10" i="1"/>
  <c r="AB6" i="1"/>
  <c r="S20" i="1"/>
  <c r="X25" i="1"/>
  <c r="O12" i="1"/>
  <c r="S24" i="1"/>
  <c r="C18" i="1"/>
  <c r="B22" i="1"/>
  <c r="AH15" i="1"/>
  <c r="AI17" i="1"/>
  <c r="AE6" i="1"/>
  <c r="AD9" i="1"/>
  <c r="AD35" i="1"/>
  <c r="D33" i="1"/>
  <c r="V22" i="1"/>
  <c r="W17" i="1"/>
  <c r="G32" i="1"/>
  <c r="S32" i="1"/>
  <c r="M5" i="1"/>
  <c r="Y26" i="1"/>
  <c r="Q19" i="1"/>
  <c r="W5" i="1"/>
  <c r="W33" i="1"/>
  <c r="E19" i="1"/>
  <c r="Z6" i="1"/>
  <c r="AC31" i="1"/>
  <c r="U19" i="1"/>
  <c r="X12" i="1"/>
  <c r="P8" i="1"/>
  <c r="T31" i="1"/>
  <c r="E22" i="1"/>
  <c r="N31" i="1"/>
  <c r="D35" i="1"/>
  <c r="U24" i="1"/>
  <c r="U9" i="1"/>
  <c r="G26" i="1"/>
  <c r="U10" i="1"/>
  <c r="N24" i="1"/>
  <c r="T35" i="1"/>
  <c r="G4" i="1"/>
  <c r="AH30" i="1"/>
  <c r="AG32" i="1"/>
  <c r="AF25" i="1"/>
  <c r="L5" i="1"/>
  <c r="AB17" i="1"/>
  <c r="W23" i="1"/>
  <c r="O5" i="1"/>
  <c r="AA9" i="1"/>
  <c r="Y31" i="1"/>
  <c r="U20" i="1"/>
  <c r="G29" i="1"/>
  <c r="P12" i="1"/>
  <c r="D4" i="1"/>
  <c r="O30" i="1"/>
  <c r="J17" i="1"/>
  <c r="F29" i="1"/>
  <c r="C22" i="1"/>
  <c r="F22" i="1"/>
  <c r="F18" i="1"/>
  <c r="M8" i="1"/>
  <c r="AH7" i="1"/>
  <c r="AI15" i="1"/>
  <c r="AH29" i="1"/>
  <c r="AF4" i="1"/>
  <c r="AG4" i="1"/>
  <c r="AD31" i="1"/>
  <c r="AD17" i="1"/>
  <c r="AE21" i="1"/>
  <c r="C32" i="1"/>
  <c r="U6" i="1"/>
  <c r="C21" i="1"/>
  <c r="Y35" i="1"/>
  <c r="T32" i="1"/>
  <c r="AA26" i="1"/>
  <c r="AB35" i="1"/>
  <c r="AH26" i="1"/>
  <c r="AI10" i="1"/>
  <c r="AH22" i="1"/>
  <c r="AE20" i="1"/>
  <c r="AF20" i="1"/>
  <c r="AG20" i="1"/>
  <c r="AD33" i="1"/>
  <c r="AE7" i="1"/>
  <c r="U32" i="1"/>
  <c r="R6" i="1"/>
  <c r="P20" i="1"/>
  <c r="Z15" i="1"/>
  <c r="K32" i="1"/>
  <c r="AA6" i="1"/>
  <c r="AB21" i="1"/>
  <c r="T20" i="1"/>
  <c r="Z8" i="1"/>
  <c r="T6" i="1"/>
  <c r="W19" i="1"/>
  <c r="X32" i="1"/>
  <c r="S6" i="1"/>
  <c r="Z31" i="1"/>
  <c r="AC18" i="1"/>
  <c r="V26" i="1"/>
  <c r="AH12" i="1"/>
  <c r="AG7" i="1"/>
  <c r="AE29" i="1"/>
  <c r="AF6" i="1"/>
  <c r="AB29" i="1"/>
  <c r="O19" i="1"/>
  <c r="AB8" i="1"/>
  <c r="L6" i="1"/>
  <c r="X35" i="1"/>
  <c r="U25" i="1"/>
  <c r="Y7" i="1"/>
  <c r="V24" i="1"/>
  <c r="Y20" i="1"/>
  <c r="T19" i="1"/>
  <c r="Z21" i="1"/>
  <c r="K22" i="1"/>
  <c r="T7" i="1"/>
  <c r="E9" i="1"/>
  <c r="AI4" i="1"/>
  <c r="AI19" i="1"/>
  <c r="AF8" i="1"/>
  <c r="AG31" i="1"/>
  <c r="AB5" i="1"/>
  <c r="S21" i="1"/>
  <c r="AC29" i="1"/>
  <c r="O20" i="1"/>
  <c r="X15" i="1"/>
  <c r="T5" i="1"/>
  <c r="X22" i="1"/>
  <c r="B21" i="1"/>
  <c r="X23" i="1"/>
  <c r="T21" i="1"/>
  <c r="Y23" i="1"/>
  <c r="L29" i="1"/>
  <c r="L17" i="1"/>
  <c r="J4" i="1"/>
  <c r="E35" i="1"/>
  <c r="C16" i="1"/>
  <c r="C17" i="1"/>
  <c r="N15" i="1"/>
  <c r="C12" i="1"/>
  <c r="S29" i="1"/>
  <c r="AI24" i="1"/>
  <c r="AF5" i="1"/>
  <c r="Q25" i="1"/>
  <c r="U33" i="1"/>
  <c r="AC5" i="1"/>
  <c r="N33" i="1"/>
  <c r="AC24" i="1"/>
  <c r="Z18" i="1"/>
  <c r="M35" i="1"/>
  <c r="F26" i="1"/>
  <c r="L9" i="1"/>
  <c r="C23" i="1"/>
  <c r="B29" i="1"/>
  <c r="R10" i="1"/>
  <c r="S31" i="1"/>
  <c r="Q22" i="1"/>
  <c r="Q8" i="1"/>
  <c r="J31" i="1"/>
  <c r="C24" i="1"/>
  <c r="B7" i="1"/>
  <c r="G30" i="1"/>
  <c r="K15" i="1"/>
  <c r="AH33" i="1"/>
  <c r="AE25" i="1"/>
  <c r="AD4" i="1"/>
  <c r="V19" i="1"/>
  <c r="Y32" i="1"/>
  <c r="AH10" i="1"/>
  <c r="AD26" i="1"/>
  <c r="Z32" i="1"/>
  <c r="Y21" i="1"/>
  <c r="AC19" i="1"/>
  <c r="T33" i="1"/>
  <c r="W31" i="1"/>
  <c r="V31" i="1"/>
  <c r="AB22" i="1"/>
  <c r="X31" i="1"/>
  <c r="R31" i="1"/>
  <c r="D12" i="1"/>
  <c r="L35" i="1"/>
  <c r="T4" i="1"/>
  <c r="T24" i="1"/>
  <c r="C28" i="1"/>
  <c r="G8" i="1"/>
  <c r="T23" i="1"/>
  <c r="N18" i="1"/>
  <c r="D9" i="1"/>
  <c r="E31" i="1"/>
  <c r="J35" i="1"/>
  <c r="M29" i="1"/>
  <c r="S28" i="1"/>
  <c r="P18" i="1"/>
  <c r="S12" i="1"/>
  <c r="Q28" i="1"/>
  <c r="AH31" i="1"/>
  <c r="AG25" i="1"/>
  <c r="E32" i="1"/>
  <c r="X5" i="1"/>
  <c r="AA28" i="1"/>
  <c r="L32" i="1"/>
  <c r="Z17" i="1"/>
  <c r="AA7" i="1"/>
  <c r="M9" i="1"/>
  <c r="J29" i="1"/>
  <c r="R9" i="1"/>
  <c r="Q31" i="1"/>
  <c r="L28" i="1"/>
  <c r="K10" i="1"/>
  <c r="L18" i="1"/>
  <c r="C31" i="1"/>
  <c r="M30" i="1"/>
  <c r="M10" i="1"/>
  <c r="K23" i="1"/>
  <c r="F10" i="1"/>
  <c r="J20" i="1"/>
  <c r="J28" i="1"/>
  <c r="P24" i="1"/>
  <c r="F31" i="1"/>
  <c r="B9" i="1"/>
  <c r="D5" i="1"/>
  <c r="AA29" i="1"/>
  <c r="W22" i="1"/>
  <c r="G18" i="1"/>
  <c r="O15" i="1"/>
  <c r="D16" i="1"/>
  <c r="O23" i="1"/>
  <c r="Q15" i="1"/>
  <c r="C10" i="1"/>
  <c r="L31" i="1"/>
  <c r="M31" i="1"/>
  <c r="V23" i="1"/>
  <c r="V25" i="1"/>
  <c r="Z7" i="1"/>
  <c r="E12" i="1"/>
  <c r="F17" i="1"/>
  <c r="J12" i="1"/>
  <c r="M28" i="1"/>
  <c r="E30" i="1"/>
  <c r="M32" i="1"/>
  <c r="P30" i="1"/>
  <c r="U16" i="1"/>
  <c r="O10" i="1"/>
  <c r="R8" i="1"/>
  <c r="F15" i="1"/>
  <c r="AI16" i="1"/>
  <c r="AH20" i="1"/>
  <c r="AI21" i="1"/>
  <c r="AE12" i="1"/>
  <c r="AF17" i="1"/>
  <c r="AF24" i="1"/>
  <c r="AG5" i="1"/>
  <c r="AE4" i="1"/>
  <c r="AC25" i="1"/>
  <c r="N19" i="1"/>
  <c r="K6" i="1"/>
  <c r="X29" i="1"/>
  <c r="N32" i="1"/>
  <c r="B25" i="1"/>
  <c r="S19" i="1"/>
  <c r="AI32" i="1"/>
  <c r="AH6" i="1"/>
  <c r="AI12" i="1"/>
  <c r="AE30" i="1"/>
  <c r="AF33" i="1"/>
  <c r="AF18" i="1"/>
  <c r="AG24" i="1"/>
  <c r="AD20" i="1"/>
  <c r="AC26" i="1"/>
  <c r="K21" i="1"/>
  <c r="B19" i="1"/>
  <c r="Y5" i="1"/>
  <c r="O32" i="1"/>
  <c r="R25" i="1"/>
  <c r="J21" i="1"/>
  <c r="AA4" i="1"/>
  <c r="AC33" i="1"/>
  <c r="F20" i="1"/>
  <c r="Y29" i="1"/>
  <c r="AC23" i="1"/>
  <c r="R20" i="1"/>
  <c r="X30" i="1"/>
  <c r="AA16" i="1"/>
  <c r="O6" i="1"/>
  <c r="AI29" i="1"/>
  <c r="AF29" i="1"/>
  <c r="AG23" i="1"/>
  <c r="AE26" i="1"/>
  <c r="AA19" i="1"/>
  <c r="X20" i="1"/>
  <c r="AA25" i="1"/>
  <c r="R19" i="1"/>
  <c r="AA32" i="1"/>
  <c r="Q20" i="1"/>
  <c r="C33" i="1"/>
  <c r="S25" i="1"/>
  <c r="B33" i="1"/>
  <c r="G6" i="1"/>
  <c r="Z5" i="1"/>
  <c r="C30" i="1"/>
  <c r="M23" i="1"/>
  <c r="S8" i="1"/>
  <c r="AI20" i="1"/>
  <c r="AF16" i="1"/>
  <c r="AG6" i="1"/>
  <c r="AE16" i="1"/>
  <c r="AA18" i="1"/>
  <c r="Z23" i="1"/>
  <c r="AA5" i="1"/>
  <c r="V5" i="1"/>
  <c r="K33" i="1"/>
  <c r="V7" i="1"/>
  <c r="Z12" i="1"/>
  <c r="P19" i="1"/>
  <c r="Z26" i="1"/>
  <c r="AI25" i="1"/>
  <c r="AG28" i="1"/>
  <c r="AE35" i="1"/>
  <c r="AG22" i="1"/>
  <c r="AB26" i="1"/>
  <c r="W6" i="1"/>
  <c r="AC15" i="1"/>
  <c r="D19" i="1"/>
  <c r="AI23" i="1"/>
  <c r="AD22" i="1"/>
  <c r="AF19" i="1"/>
  <c r="M33" i="1"/>
  <c r="L21" i="1"/>
  <c r="Z10" i="1"/>
  <c r="F32" i="1"/>
  <c r="W29" i="1"/>
  <c r="V28" i="1"/>
  <c r="T25" i="1"/>
  <c r="Z16" i="1"/>
  <c r="W16" i="1"/>
  <c r="AG16" i="1"/>
  <c r="AD15" i="1"/>
  <c r="Z20" i="1"/>
  <c r="W18" i="1"/>
  <c r="Q6" i="1"/>
  <c r="F19" i="1"/>
  <c r="M19" i="1"/>
  <c r="K4" i="1"/>
  <c r="S9" i="1"/>
  <c r="AD6" i="1"/>
  <c r="AD12" i="1"/>
  <c r="Y12" i="1"/>
  <c r="D21" i="1"/>
  <c r="G19" i="1"/>
  <c r="K19" i="1"/>
  <c r="J5" i="1"/>
  <c r="Z30" i="1"/>
  <c r="P9" i="1"/>
  <c r="P28" i="1"/>
  <c r="P15" i="1"/>
  <c r="Q4" i="1"/>
  <c r="M12" i="1"/>
  <c r="D22" i="1"/>
  <c r="AH17" i="1"/>
  <c r="AD8" i="1"/>
  <c r="X24" i="1"/>
  <c r="Y16" i="1"/>
  <c r="B20" i="1"/>
  <c r="V6" i="1"/>
  <c r="B4" i="1"/>
  <c r="U12" i="1"/>
  <c r="L4" i="1"/>
  <c r="K9" i="1"/>
  <c r="L10" i="1"/>
  <c r="E18" i="1"/>
  <c r="J30" i="1"/>
  <c r="E4" i="1"/>
  <c r="B30" i="1"/>
  <c r="D10" i="1"/>
  <c r="K24" i="1"/>
  <c r="AI33" i="1"/>
  <c r="AF21" i="1"/>
  <c r="C19" i="1"/>
  <c r="AI6" i="1"/>
  <c r="AF15" i="1"/>
  <c r="AB30" i="1"/>
  <c r="AC35" i="1"/>
  <c r="X7" i="1"/>
  <c r="Y28" i="1"/>
  <c r="X18" i="1"/>
  <c r="Y6" i="1"/>
  <c r="R35" i="1"/>
  <c r="B17" i="1"/>
  <c r="L30" i="1"/>
  <c r="Q12" i="1"/>
  <c r="N16" i="1"/>
  <c r="G17" i="1"/>
  <c r="U4" i="1"/>
  <c r="C4" i="1"/>
  <c r="U22" i="1"/>
  <c r="P23" i="1"/>
  <c r="M16" i="1"/>
  <c r="F9" i="1"/>
  <c r="Q16" i="1"/>
  <c r="AD25" i="1"/>
  <c r="AD19" i="1"/>
  <c r="Q33" i="1"/>
  <c r="W9" i="1"/>
  <c r="V17" i="1"/>
  <c r="J25" i="1"/>
  <c r="U35" i="1"/>
  <c r="O31" i="1"/>
  <c r="O4" i="1"/>
  <c r="Q24" i="1"/>
  <c r="E28" i="1"/>
  <c r="G24" i="1"/>
  <c r="D15" i="1"/>
  <c r="C29" i="1"/>
  <c r="O24" i="1"/>
  <c r="X19" i="1"/>
  <c r="S15" i="1"/>
  <c r="R23" i="1"/>
  <c r="C26" i="1"/>
  <c r="X28" i="1"/>
  <c r="W4" i="1"/>
  <c r="M7" i="1"/>
  <c r="G7" i="1"/>
  <c r="N9" i="1"/>
  <c r="S18" i="1"/>
  <c r="B31" i="1"/>
  <c r="O8" i="1"/>
  <c r="E20" i="1"/>
  <c r="F25" i="1"/>
  <c r="O17" i="1"/>
  <c r="J24" i="1"/>
  <c r="L22" i="1"/>
  <c r="T30" i="1"/>
  <c r="O21" i="1"/>
  <c r="C35" i="1"/>
  <c r="S4" i="1"/>
  <c r="N30" i="1"/>
  <c r="AH19" i="1"/>
  <c r="AG15" i="1"/>
  <c r="AD30" i="1"/>
  <c r="AF22" i="1"/>
  <c r="AB4" i="1"/>
  <c r="W25" i="1"/>
  <c r="AB7" i="1"/>
  <c r="C25" i="1"/>
  <c r="AH5" i="1"/>
  <c r="AG12" i="1"/>
  <c r="AE33" i="1"/>
  <c r="Y33" i="1"/>
  <c r="S5" i="1"/>
  <c r="L33" i="1"/>
  <c r="AC12" i="1"/>
  <c r="X26" i="1"/>
  <c r="J6" i="1"/>
  <c r="L20" i="1"/>
  <c r="Q32" i="1"/>
  <c r="AH28" i="1"/>
  <c r="AF7" i="1"/>
  <c r="AC30" i="1"/>
  <c r="S33" i="1"/>
  <c r="Z9" i="1"/>
  <c r="Z29" i="1"/>
  <c r="W26" i="1"/>
  <c r="W28" i="1"/>
  <c r="Q10" i="1"/>
  <c r="P29" i="1"/>
  <c r="AG30" i="1"/>
  <c r="J32" i="1"/>
  <c r="AB33" i="1"/>
  <c r="Y15" i="1"/>
  <c r="Y17" i="1"/>
  <c r="W15" i="1"/>
  <c r="Q21" i="1"/>
  <c r="S35" i="1"/>
  <c r="Q7" i="1"/>
  <c r="P17" i="1"/>
  <c r="J8" i="1"/>
  <c r="F35" i="1"/>
  <c r="G31" i="1"/>
  <c r="C9" i="1"/>
  <c r="AI31" i="1"/>
  <c r="F33" i="1"/>
  <c r="B32" i="1"/>
  <c r="C6" i="1"/>
  <c r="V12" i="1"/>
  <c r="X6" i="1"/>
  <c r="K12" i="1"/>
  <c r="E8" i="1"/>
  <c r="L7" i="1"/>
  <c r="B18" i="1"/>
  <c r="O28" i="1"/>
  <c r="K16" i="1"/>
  <c r="E17" i="1"/>
  <c r="K26" i="1"/>
  <c r="T8" i="1"/>
  <c r="L15" i="1"/>
  <c r="L8" i="1"/>
  <c r="AG9" i="1"/>
  <c r="AE32" i="1"/>
  <c r="W21" i="1"/>
  <c r="AI30" i="1"/>
  <c r="AE28" i="1"/>
  <c r="M6" i="1"/>
  <c r="AA22" i="1"/>
  <c r="AB25" i="1"/>
  <c r="AC20" i="1"/>
  <c r="R33" i="1"/>
  <c r="T17" i="1"/>
  <c r="N29" i="1"/>
  <c r="K30" i="1"/>
  <c r="O9" i="1"/>
  <c r="D8" i="1"/>
  <c r="R16" i="1"/>
  <c r="J7" i="1"/>
  <c r="N8" i="1"/>
  <c r="O26" i="1"/>
  <c r="F16" i="1"/>
  <c r="O18" i="1"/>
  <c r="U28" i="1"/>
  <c r="L24" i="1"/>
  <c r="AH16" i="1"/>
  <c r="AE5" i="1"/>
  <c r="AA31" i="1"/>
  <c r="AC8" i="1"/>
  <c r="X21" i="1"/>
  <c r="AB16" i="1"/>
  <c r="Y24" i="1"/>
  <c r="M24" i="1"/>
  <c r="O7" i="1"/>
  <c r="R7" i="1"/>
  <c r="R12" i="1"/>
  <c r="D7" i="1"/>
  <c r="B10" i="1"/>
  <c r="U30" i="1"/>
  <c r="U8" i="1"/>
  <c r="P10" i="1"/>
  <c r="S7" i="1"/>
  <c r="D26" i="1"/>
  <c r="R28" i="1"/>
  <c r="O35" i="1"/>
  <c r="N6" i="1"/>
  <c r="P22" i="1"/>
  <c r="T12" i="1"/>
  <c r="P16" i="1"/>
  <c r="D28" i="1"/>
  <c r="F8" i="1"/>
  <c r="M15" i="1"/>
  <c r="N28" i="1"/>
  <c r="Z24" i="1"/>
  <c r="R30" i="1"/>
  <c r="R17" i="1"/>
  <c r="Q18" i="1"/>
  <c r="D23" i="1"/>
  <c r="M21" i="1"/>
  <c r="Q35" i="1"/>
  <c r="M22" i="1"/>
  <c r="N4" i="1"/>
  <c r="L23" i="1"/>
  <c r="AI18" i="1"/>
  <c r="AD24" i="1"/>
  <c r="AF12" i="1"/>
  <c r="X33" i="1"/>
  <c r="V10" i="1"/>
  <c r="Y30" i="1"/>
  <c r="E33" i="1"/>
  <c r="AI22" i="1"/>
  <c r="AG17" i="1"/>
  <c r="AE23" i="1"/>
  <c r="AG8" i="1"/>
  <c r="AB10" i="1"/>
  <c r="W10" i="1"/>
  <c r="AC10" i="1"/>
  <c r="E25" i="1"/>
  <c r="AC4" i="1"/>
  <c r="X17" i="1"/>
  <c r="P25" i="1"/>
  <c r="F6" i="1"/>
  <c r="AI5" i="1"/>
  <c r="AE9" i="1"/>
  <c r="N25" i="1"/>
  <c r="P33" i="1"/>
  <c r="AB12" i="1"/>
  <c r="AB19" i="1"/>
  <c r="V32" i="1"/>
  <c r="U31" i="1"/>
  <c r="M4" i="1"/>
  <c r="AH25" i="1"/>
  <c r="AF23" i="1"/>
  <c r="M20" i="1"/>
  <c r="E5" i="1"/>
  <c r="AC22" i="1"/>
  <c r="AC7" i="1"/>
  <c r="AA33" i="1"/>
  <c r="W8" i="1"/>
  <c r="B15" i="1"/>
  <c r="L16" i="1"/>
  <c r="B8" i="1"/>
  <c r="N23" i="1"/>
  <c r="S17" i="1"/>
  <c r="R15" i="1"/>
  <c r="F30" i="1"/>
  <c r="AF30" i="1"/>
  <c r="AC6" i="1"/>
  <c r="K5" i="1"/>
  <c r="G21" i="1"/>
  <c r="Y19" i="1"/>
  <c r="C7" i="1"/>
  <c r="Q9" i="1"/>
  <c r="D24" i="1"/>
  <c r="E10" i="1"/>
  <c r="D17" i="1"/>
  <c r="N35" i="1"/>
  <c r="D18" i="1"/>
  <c r="M26" i="1"/>
  <c r="T28" i="1"/>
  <c r="E29" i="1"/>
  <c r="T26" i="1"/>
  <c r="B35" i="1"/>
  <c r="AG19" i="1"/>
  <c r="V33" i="1"/>
  <c r="Y22" i="1"/>
  <c r="AG26" i="1"/>
  <c r="AG29" i="1"/>
  <c r="P5" i="1"/>
  <c r="P21" i="1"/>
  <c r="R21" i="1"/>
  <c r="V29" i="1"/>
  <c r="D20" i="1"/>
  <c r="N22" i="1"/>
  <c r="F23" i="1"/>
  <c r="S22" i="1"/>
  <c r="B26" i="1"/>
  <c r="L26" i="1"/>
  <c r="T15" i="1"/>
  <c r="G28" i="1"/>
  <c r="G16" i="1"/>
  <c r="E15" i="1"/>
  <c r="F12" i="1"/>
  <c r="K29" i="1"/>
  <c r="U17" i="1"/>
  <c r="P7" i="1"/>
  <c r="AH18" i="1"/>
  <c r="AE8" i="1"/>
  <c r="Q5" i="1"/>
  <c r="N5" i="1"/>
  <c r="AC32" i="1"/>
  <c r="N21" i="1"/>
  <c r="L12" i="1"/>
  <c r="B24" i="1"/>
  <c r="O22" i="1"/>
  <c r="G10" i="1"/>
  <c r="S16" i="1"/>
  <c r="J22" i="1"/>
  <c r="B12" i="1"/>
  <c r="Q29" i="1"/>
  <c r="E24" i="1"/>
  <c r="Y25" i="1"/>
  <c r="G22" i="1"/>
  <c r="K18" i="1"/>
  <c r="K7" i="1"/>
  <c r="AC21" i="1"/>
  <c r="X4" i="1"/>
  <c r="U7" i="1"/>
  <c r="G9" i="1"/>
  <c r="P4" i="1"/>
  <c r="U18" i="1"/>
  <c r="B16" i="1"/>
  <c r="K31" i="1"/>
  <c r="U26" i="1"/>
  <c r="W20" i="1"/>
  <c r="O29" i="1"/>
  <c r="E16" i="1"/>
  <c r="M18" i="1"/>
  <c r="J16" i="1"/>
  <c r="W12" i="1"/>
  <c r="R26" i="1"/>
  <c r="R18" i="1"/>
  <c r="Q17" i="1"/>
  <c r="AI8" i="1"/>
  <c r="AG21" i="1"/>
  <c r="AE17" i="1"/>
  <c r="O33" i="1"/>
  <c r="G5" i="1"/>
  <c r="Y4" i="1"/>
  <c r="W32" i="1"/>
  <c r="AH4" i="1"/>
  <c r="AG33" i="1"/>
  <c r="AD10" i="1"/>
  <c r="AF31" i="1"/>
  <c r="AA20" i="1"/>
  <c r="W30" i="1"/>
  <c r="AB15" i="1"/>
  <c r="R5" i="1"/>
  <c r="AA35" i="1"/>
  <c r="Z4" i="1"/>
  <c r="W7" i="1"/>
  <c r="J19" i="1"/>
  <c r="AI26" i="1"/>
  <c r="AD32" i="1"/>
  <c r="L25" i="1"/>
  <c r="F5" i="1"/>
  <c r="AA8" i="1"/>
  <c r="C5" i="1"/>
  <c r="O25" i="1"/>
  <c r="F7" i="1"/>
  <c r="P31" i="1"/>
  <c r="AH8" i="1"/>
  <c r="AE22" i="1"/>
  <c r="V15" i="1"/>
  <c r="AB23" i="1"/>
  <c r="AB31" i="1"/>
  <c r="AA15" i="1"/>
  <c r="AA23" i="1"/>
  <c r="Y10" i="1"/>
  <c r="B23" i="1"/>
  <c r="P26" i="1"/>
  <c r="J23" i="1"/>
  <c r="R22" i="1"/>
  <c r="J9" i="1"/>
  <c r="T29" i="1"/>
  <c r="S26" i="1"/>
  <c r="AE18" i="1"/>
  <c r="K20" i="1"/>
  <c r="G25" i="1"/>
  <c r="X8" i="1"/>
  <c r="V30" i="1"/>
  <c r="U23" i="1"/>
  <c r="O16" i="1"/>
  <c r="E26" i="1"/>
  <c r="J10" i="1"/>
  <c r="N26" i="1"/>
  <c r="T16" i="1"/>
  <c r="F4" i="1"/>
  <c r="R24" i="1"/>
  <c r="E23" i="1"/>
  <c r="S30" i="1"/>
  <c r="Q23" i="1"/>
  <c r="AI7" i="1"/>
  <c r="AD28" i="1"/>
  <c r="AB24" i="1"/>
  <c r="AA24" i="1"/>
  <c r="AD5" i="1"/>
  <c r="AE15" i="1"/>
  <c r="Z28" i="1"/>
  <c r="V18" i="1"/>
  <c r="D25" i="1"/>
  <c r="C20" i="1"/>
  <c r="V16" i="1"/>
  <c r="C15" i="1"/>
  <c r="R4" i="1"/>
  <c r="Q30" i="1"/>
  <c r="K17" i="1"/>
  <c r="D30" i="1"/>
  <c r="J15" i="1"/>
  <c r="N10" i="1"/>
  <c r="M17" i="1"/>
  <c r="G23" i="1"/>
  <c r="T10" i="1"/>
  <c r="T9" i="1"/>
  <c r="P35" i="1"/>
  <c r="N17" i="1"/>
  <c r="AF32" i="1"/>
  <c r="AF9" i="1"/>
  <c r="M25" i="1"/>
  <c r="V9" i="1"/>
  <c r="Z22" i="1"/>
  <c r="Y8" i="1"/>
  <c r="B28" i="1"/>
  <c r="S10" i="1"/>
  <c r="D29" i="1"/>
  <c r="K8" i="1"/>
  <c r="G12" i="1"/>
  <c r="K28" i="1"/>
  <c r="S23" i="1"/>
  <c r="T18" i="1"/>
  <c r="E7" i="1"/>
  <c r="AB20" i="1"/>
  <c r="T22" i="1"/>
  <c r="R29" i="1"/>
  <c r="N12" i="1"/>
  <c r="F21" i="1"/>
  <c r="G20" i="1"/>
  <c r="U15" i="1"/>
  <c r="K35" i="1"/>
  <c r="G15" i="1"/>
  <c r="D31" i="1"/>
  <c r="J18" i="1"/>
  <c r="N7" i="1"/>
  <c r="AA17" i="1"/>
  <c r="AB32" i="1"/>
  <c r="Q26" i="1"/>
  <c r="J26" i="1"/>
  <c r="F24" i="1"/>
  <c r="G35" i="1"/>
  <c r="Z19" i="1"/>
  <c r="C8" i="1"/>
  <c r="U29" i="1"/>
  <c r="F28" i="1"/>
  <c r="AE27" i="1"/>
  <c r="R27" i="1"/>
  <c r="D27" i="1"/>
  <c r="Y27" i="1"/>
  <c r="G27" i="1"/>
  <c r="X27" i="1"/>
  <c r="Q27" i="1"/>
  <c r="W27" i="1"/>
  <c r="U27" i="1"/>
  <c r="T27" i="1"/>
  <c r="J27" i="1"/>
  <c r="AG27" i="1"/>
  <c r="AB27" i="1"/>
  <c r="Z27" i="1"/>
  <c r="F27" i="1"/>
  <c r="B27" i="1"/>
  <c r="C27" i="1"/>
  <c r="AI27" i="1"/>
  <c r="AD27" i="1"/>
  <c r="AF27" i="1"/>
  <c r="K27" i="1"/>
  <c r="E27" i="1"/>
  <c r="V27" i="1"/>
  <c r="S27" i="1"/>
  <c r="AC27" i="1"/>
  <c r="N27" i="1"/>
  <c r="O27" i="1"/>
  <c r="AA27" i="1"/>
  <c r="P27" i="1"/>
  <c r="M27" i="1"/>
  <c r="AH27" i="1"/>
  <c r="L27" i="1"/>
</calcChain>
</file>

<file path=xl/sharedStrings.xml><?xml version="1.0" encoding="utf-8"?>
<sst xmlns="http://schemas.openxmlformats.org/spreadsheetml/2006/main" count="48" uniqueCount="48">
  <si>
    <t>Date</t>
  </si>
  <si>
    <t>Quarter</t>
  </si>
  <si>
    <t>Month</t>
  </si>
  <si>
    <t>End of the Month</t>
  </si>
  <si>
    <t>Semester</t>
  </si>
  <si>
    <t>Beginning of the month</t>
  </si>
  <si>
    <t>Semester Year</t>
  </si>
  <si>
    <t>Quarter Year</t>
  </si>
  <si>
    <t>Month Year</t>
  </si>
  <si>
    <t>Day of the week</t>
  </si>
  <si>
    <t>num day of the week</t>
  </si>
  <si>
    <t>num week of the year default system</t>
  </si>
  <si>
    <t>num week of the year european system</t>
  </si>
  <si>
    <t>Add Month +</t>
  </si>
  <si>
    <t>Add mont -</t>
  </si>
  <si>
    <t>Add Day +</t>
  </si>
  <si>
    <t>Add Day -</t>
  </si>
  <si>
    <t>Add year +</t>
  </si>
  <si>
    <t>Add year -</t>
  </si>
  <si>
    <t>Working Day</t>
  </si>
  <si>
    <t>Public Holiday</t>
  </si>
  <si>
    <t>Workable Day</t>
  </si>
  <si>
    <t>next working day</t>
  </si>
  <si>
    <t>next workable day</t>
  </si>
  <si>
    <t>previous working day</t>
  </si>
  <si>
    <t>prevous workable day</t>
  </si>
  <si>
    <t>next public holiday</t>
  </si>
  <si>
    <t>first working day of month</t>
  </si>
  <si>
    <t>first workable day of month</t>
  </si>
  <si>
    <t>last working day of month</t>
  </si>
  <si>
    <t>last workable day of month</t>
  </si>
  <si>
    <t>Nb working day in the month</t>
  </si>
  <si>
    <t>Nb workable day in month</t>
  </si>
  <si>
    <t>First date</t>
  </si>
  <si>
    <t>Last date</t>
  </si>
  <si>
    <t>Nb working day</t>
  </si>
  <si>
    <t>Nb workable day</t>
  </si>
  <si>
    <t>date diff year</t>
  </si>
  <si>
    <t>Date Diff day</t>
  </si>
  <si>
    <t>Date diff month</t>
  </si>
  <si>
    <t>Examples :</t>
  </si>
  <si>
    <t>Month Year Mini</t>
  </si>
  <si>
    <t>Month year Num</t>
  </si>
  <si>
    <t>Date to Num</t>
  </si>
  <si>
    <t>Num To Date</t>
  </si>
  <si>
    <t>Age Today</t>
  </si>
  <si>
    <t>Age Date</t>
  </si>
  <si>
    <t>Birthdate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</si>
</sst>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14" fontId="1" fillId="0" borderId="0" xfId="0" applyNumberFormat="1" applyFont="1"/>
    <xf numFmtId="1" fontId="1" fillId="0" borderId="0" xfId="0" applyNumberFormat="1" applyFont="1"/>
    <xf numFmtId="14" fontId="0" fillId="0" borderId="0" xfId="0" applyNumberFormat="1" applyFill="1"/>
    <xf numFmtId="0" fontId="0" fillId="0" borderId="0" xfId="0" applyFill="1"/>
    <xf numFmtId="1" fontId="0" fillId="0" borderId="0" xfId="0" applyNumberFormat="1" applyFill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2" fillId="0" borderId="0" xfId="0" applyFont="1"/>
    <xf numFmtId="1" fontId="0" fillId="0" borderId="0" xfId="0" applyNumberFormat="1" applyBorder="1"/>
    <xf numFmtId="2" fontId="0" fillId="0" borderId="0" xfId="0" applyNumberFormat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N48"/>
  <sheetViews>
    <sheetView tabSelected="1" workbookViewId="0">
      <selection activeCell="AP12" sqref="AP12"/>
    </sheetView>
  </sheetViews>
  <sheetFormatPr baseColWidth="10" defaultRowHeight="15" x14ac:dyDescent="0.25"/>
  <cols>
    <col min="2" max="2" width="3.5703125" customWidth="1"/>
    <col min="3" max="8" width="2.7109375" customWidth="1"/>
    <col min="9" max="9" width="2.7109375" style="2" customWidth="1"/>
    <col min="10" max="15" width="2.7109375" customWidth="1"/>
    <col min="16" max="21" width="2.7109375" style="1" customWidth="1"/>
    <col min="22" max="22" width="2.7109375" style="2" customWidth="1"/>
    <col min="23" max="24" width="2.7109375" customWidth="1"/>
    <col min="25" max="33" width="2.7109375" style="1" customWidth="1"/>
    <col min="34" max="35" width="2.7109375" customWidth="1"/>
    <col min="36" max="36" width="13.5703125" bestFit="1" customWidth="1"/>
    <col min="37" max="37" width="13.85546875" style="1" bestFit="1" customWidth="1"/>
    <col min="40" max="40" width="11.42578125" style="14"/>
  </cols>
  <sheetData>
    <row r="1" spans="1:40" ht="18.75" x14ac:dyDescent="0.3">
      <c r="A1" s="12" t="s">
        <v>40</v>
      </c>
    </row>
    <row r="3" spans="1:40" ht="15.75" x14ac:dyDescent="0.25">
      <c r="A3" s="3" t="s">
        <v>0</v>
      </c>
      <c r="B3" s="3" t="s">
        <v>1</v>
      </c>
      <c r="C3" s="3" t="s">
        <v>4</v>
      </c>
      <c r="D3" s="3" t="s">
        <v>7</v>
      </c>
      <c r="E3" s="3" t="s">
        <v>6</v>
      </c>
      <c r="F3" s="3" t="s">
        <v>2</v>
      </c>
      <c r="G3" s="3" t="s">
        <v>8</v>
      </c>
      <c r="H3" s="3" t="s">
        <v>41</v>
      </c>
      <c r="I3" s="5" t="s">
        <v>42</v>
      </c>
      <c r="J3" s="3" t="s">
        <v>9</v>
      </c>
      <c r="K3" s="3" t="s">
        <v>10</v>
      </c>
      <c r="L3" s="3" t="s">
        <v>12</v>
      </c>
      <c r="M3" s="3" t="s">
        <v>11</v>
      </c>
      <c r="N3" s="3" t="s">
        <v>5</v>
      </c>
      <c r="O3" s="3" t="s">
        <v>3</v>
      </c>
      <c r="P3" s="4" t="s">
        <v>13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5" t="s">
        <v>20</v>
      </c>
      <c r="W3" s="4" t="s">
        <v>19</v>
      </c>
      <c r="X3" s="4" t="s">
        <v>21</v>
      </c>
      <c r="Y3" s="4" t="s">
        <v>22</v>
      </c>
      <c r="Z3" s="4" t="s">
        <v>23</v>
      </c>
      <c r="AA3" s="4" t="s">
        <v>24</v>
      </c>
      <c r="AB3" s="4" t="s">
        <v>25</v>
      </c>
      <c r="AC3" s="4" t="s">
        <v>26</v>
      </c>
      <c r="AD3" s="4" t="s">
        <v>27</v>
      </c>
      <c r="AE3" s="4" t="s">
        <v>28</v>
      </c>
      <c r="AF3" s="4" t="s">
        <v>29</v>
      </c>
      <c r="AG3" s="4" t="s">
        <v>30</v>
      </c>
      <c r="AH3" s="4" t="s">
        <v>31</v>
      </c>
      <c r="AI3" s="4" t="s">
        <v>32</v>
      </c>
      <c r="AJ3" s="4" t="s">
        <v>43</v>
      </c>
      <c r="AK3" s="4" t="s">
        <v>44</v>
      </c>
      <c r="AL3" s="4" t="s">
        <v>45</v>
      </c>
      <c r="AM3" s="4" t="s">
        <v>47</v>
      </c>
      <c r="AN3" s="15" t="s">
        <v>46</v>
      </c>
    </row>
    <row r="4" spans="1:40" x14ac:dyDescent="0.25">
      <c r="A4" s="1">
        <v>42795</v>
      </c>
      <c r="B4" t="str">
        <f>Quarter(A4,"FR")</f>
        <v>T1</v>
      </c>
      <c r="C4" t="str">
        <f>SEMESTER(A4)</f>
        <v>S1</v>
      </c>
      <c r="D4" t="str">
        <f>QUARTERYEAR(A4,"FR")</f>
        <v>T1-2017</v>
      </c>
      <c r="E4" t="str">
        <f>SEMESTERYEAR(A4)</f>
        <v>S1-2017</v>
      </c>
      <c r="F4" t="str">
        <f>MONTHTEXT(A4,"FR")</f>
        <v>mars</v>
      </c>
      <c r="G4" t="str">
        <f>MONTHYEAR(A4,"EN")</f>
        <v>march-2017</v>
      </c>
      <c r="H4" t="str">
        <f>MonthYearMini(A4)</f>
        <v>mar-17</v>
      </c>
      <c r="I4" s="2">
        <f>MonthYearNum(A4)</f>
        <v>201703</v>
      </c>
      <c r="J4" t="str">
        <f>DayWeek(A4)</f>
        <v>wednesday</v>
      </c>
      <c r="K4" t="str">
        <f>NumDayWeek(A4)</f>
        <v>3</v>
      </c>
      <c r="L4">
        <f>NumWeekYearEuro(A4)</f>
        <v>9</v>
      </c>
      <c r="M4">
        <f>NumWeekYearDefault(A4)</f>
        <v>9</v>
      </c>
      <c r="N4" s="1">
        <f>BeginMonth(A4)</f>
        <v>42795</v>
      </c>
      <c r="O4" s="1">
        <f>EndMonth(A4)</f>
        <v>42825</v>
      </c>
      <c r="P4" s="1">
        <f>AddMonth(A4,2)</f>
        <v>42856</v>
      </c>
      <c r="Q4" s="1">
        <f>AddMonth(A4,-2)</f>
        <v>42736</v>
      </c>
      <c r="R4" s="1">
        <f>AddDay(A4,5)</f>
        <v>42800</v>
      </c>
      <c r="S4" s="1">
        <f>AddDay(A4,-4)</f>
        <v>42791</v>
      </c>
      <c r="T4" s="1">
        <f>AddYear(A4,1)</f>
        <v>43160</v>
      </c>
      <c r="U4" s="1">
        <f>AddYear(A4,-1)</f>
        <v>42430</v>
      </c>
      <c r="V4" s="2">
        <f>PublicHolidayFr(A4)</f>
        <v>0</v>
      </c>
      <c r="W4">
        <f>WorkingDay(A4)</f>
        <v>1</v>
      </c>
      <c r="X4">
        <f>WorkableDay(A4)</f>
        <v>1</v>
      </c>
      <c r="Y4" s="1">
        <f>NextWorkingDay(A4)</f>
        <v>42795</v>
      </c>
      <c r="Z4" s="1">
        <f>NextWorkableDay(A4)</f>
        <v>42795</v>
      </c>
      <c r="AA4" s="1">
        <f>PrevWorkingDay(A4)</f>
        <v>42794</v>
      </c>
      <c r="AB4" s="1">
        <f>PrevWorkableDay(A4)</f>
        <v>42794</v>
      </c>
      <c r="AC4" s="1">
        <f>NextPublicHoliday(A4)</f>
        <v>42841</v>
      </c>
      <c r="AD4" s="1">
        <f>FirstWorkingDayMonth(A4)</f>
        <v>42795</v>
      </c>
      <c r="AE4" s="1">
        <f>FirstWorkableDayMonth(A4)</f>
        <v>42795</v>
      </c>
      <c r="AF4" s="1">
        <f>LastWorkingDayMonth(A4)</f>
        <v>42825</v>
      </c>
      <c r="AG4" s="1">
        <f>LastWorkableDayMonth(A4)</f>
        <v>42825</v>
      </c>
      <c r="AH4">
        <f>NumberWorkinDayMonth(A4)</f>
        <v>23</v>
      </c>
      <c r="AI4">
        <f>NumberWorkableDayMonth(A4)</f>
        <v>27</v>
      </c>
      <c r="AJ4">
        <f>DateToNum(A4)</f>
        <v>20170301</v>
      </c>
      <c r="AK4" s="1">
        <f>NumToDate(AJ4)</f>
        <v>42795</v>
      </c>
      <c r="AL4">
        <f>AgeToday(AM4)</f>
        <v>31</v>
      </c>
      <c r="AM4" s="1">
        <v>31464</v>
      </c>
      <c r="AN4" s="14">
        <f>AgeDate(AM4,A4)</f>
        <v>31</v>
      </c>
    </row>
    <row r="5" spans="1:40" x14ac:dyDescent="0.25">
      <c r="A5" s="1">
        <v>42736</v>
      </c>
      <c r="B5" t="str">
        <f t="shared" ref="B5:B6" si="0">Quarter(A5,"FR")</f>
        <v>T1</v>
      </c>
      <c r="C5" t="str">
        <f t="shared" ref="C5:C6" si="1">SEMESTER(A5)</f>
        <v>S1</v>
      </c>
      <c r="D5" t="str">
        <f t="shared" ref="D5:D6" si="2">QUARTERYEAR(A5,"FR")</f>
        <v>T1-2017</v>
      </c>
      <c r="E5" t="str">
        <f t="shared" ref="E5:E6" si="3">SEMESTERYEAR(A5)</f>
        <v>S1-2017</v>
      </c>
      <c r="F5" t="str">
        <f t="shared" ref="F5:F6" si="4">MONTHTEXT(A5,"FR")</f>
        <v>janvier</v>
      </c>
      <c r="G5" t="str">
        <f t="shared" ref="G5:G6" si="5">MONTHYEAR(A5,"EN")</f>
        <v>january-2017</v>
      </c>
      <c r="H5" t="str">
        <f t="shared" ref="H5:H35" si="6">MonthYearMini(A5)</f>
        <v>jan-17</v>
      </c>
      <c r="I5" s="2">
        <f t="shared" ref="I5:I35" si="7">MonthYearNum(A5)</f>
        <v>201701</v>
      </c>
      <c r="J5" t="str">
        <f t="shared" ref="J5:J6" si="8">DayWeek(A5)</f>
        <v>sunday</v>
      </c>
      <c r="K5" t="str">
        <f t="shared" ref="K5:K6" si="9">NumDayWeek(A5)</f>
        <v>7</v>
      </c>
      <c r="L5">
        <f t="shared" ref="L5:L6" si="10">NumWeekYearEuro(A5)</f>
        <v>52</v>
      </c>
      <c r="M5">
        <f t="shared" ref="M5:M6" si="11">NumWeekYearDefault(A5)</f>
        <v>1</v>
      </c>
      <c r="N5" s="1">
        <f t="shared" ref="N5:N6" si="12">BeginMonth(A5)</f>
        <v>42736</v>
      </c>
      <c r="O5" s="1">
        <f t="shared" ref="O5:O6" si="13">EndMonth(A5)</f>
        <v>42766</v>
      </c>
      <c r="P5" s="1">
        <f t="shared" ref="P5:P6" si="14">AddMonth(A5,2)</f>
        <v>42795</v>
      </c>
      <c r="Q5" s="1">
        <f t="shared" ref="Q5:Q6" si="15">AddMonth(A5,-2)</f>
        <v>42675</v>
      </c>
      <c r="R5" s="1">
        <f t="shared" ref="R5:R6" si="16">AddDay(A5,5)</f>
        <v>42741</v>
      </c>
      <c r="S5" s="1">
        <f t="shared" ref="S5:S6" si="17">AddDay(A5,-4)</f>
        <v>42732</v>
      </c>
      <c r="T5" s="1">
        <f t="shared" ref="T5:T6" si="18">AddYear(A5,1)</f>
        <v>43101</v>
      </c>
      <c r="U5" s="1">
        <f t="shared" ref="U5:U6" si="19">AddYear(A5,-1)</f>
        <v>42370</v>
      </c>
      <c r="V5" s="2">
        <f t="shared" ref="V5:V6" si="20">PublicHolidayFr(A5)</f>
        <v>1</v>
      </c>
      <c r="W5">
        <f t="shared" ref="W5:W35" si="21">WorkingDay(A5)</f>
        <v>0</v>
      </c>
      <c r="X5">
        <f t="shared" ref="X5:X35" si="22">WorkableDay(A5)</f>
        <v>0</v>
      </c>
      <c r="Y5" s="1">
        <f t="shared" ref="Y5:Y35" si="23">NextWorkingDay(A5)</f>
        <v>42737</v>
      </c>
      <c r="Z5" s="1">
        <f t="shared" ref="Z5:Z35" si="24">NextWorkableDay(A5)</f>
        <v>42737</v>
      </c>
      <c r="AA5" s="1">
        <f t="shared" ref="AA5:AA35" si="25">PrevWorkingDay(A5)</f>
        <v>42735</v>
      </c>
      <c r="AB5" s="1">
        <f t="shared" ref="AB5:AB35" si="26">PrevWorkableDay(A5)</f>
        <v>42735</v>
      </c>
      <c r="AC5" s="1">
        <f t="shared" ref="AC5:AC35" si="27">NextPublicHoliday(A5)</f>
        <v>42841</v>
      </c>
      <c r="AD5" s="1">
        <f t="shared" ref="AD5:AD35" si="28">FirstWorkingDayMonth(A5)</f>
        <v>42737</v>
      </c>
      <c r="AE5" s="1">
        <f t="shared" ref="AE5:AE35" si="29">FirstWorkableDayMonth(A5)</f>
        <v>42737</v>
      </c>
      <c r="AF5" s="1">
        <f t="shared" ref="AF5:AF35" si="30">LastWorkingDayMonth(A5)</f>
        <v>42766</v>
      </c>
      <c r="AG5" s="1">
        <f t="shared" ref="AG5:AG35" si="31">LastWorkableDayMonth(A5)</f>
        <v>42766</v>
      </c>
      <c r="AH5">
        <f t="shared" ref="AH5:AH35" si="32">NumberWorkinDayMonth(A5)</f>
        <v>22</v>
      </c>
      <c r="AI5">
        <f t="shared" ref="AI5:AI35" si="33">NumberWorkableDayMonth(A5)</f>
        <v>26</v>
      </c>
      <c r="AJ5">
        <f t="shared" ref="AJ5:AJ35" si="34">DateToNum(A5)</f>
        <v>20170101</v>
      </c>
      <c r="AK5" s="1">
        <f t="shared" ref="AK5:AK35" si="35">NumToDate(AJ5)</f>
        <v>42736</v>
      </c>
      <c r="AL5">
        <f t="shared" ref="AL5:AL35" si="36">AgeToday(AM5)</f>
        <v>31</v>
      </c>
      <c r="AM5" s="1">
        <v>31465</v>
      </c>
      <c r="AN5" s="14">
        <f t="shared" ref="AN5:AN34" si="37">AgeDate(AM5,A5)</f>
        <v>30</v>
      </c>
    </row>
    <row r="6" spans="1:40" x14ac:dyDescent="0.25">
      <c r="A6" s="1">
        <v>42735</v>
      </c>
      <c r="B6" t="str">
        <f t="shared" si="0"/>
        <v>T4</v>
      </c>
      <c r="C6" t="str">
        <f t="shared" si="1"/>
        <v>S2</v>
      </c>
      <c r="D6" t="str">
        <f t="shared" si="2"/>
        <v>T4-2016</v>
      </c>
      <c r="E6" t="str">
        <f t="shared" si="3"/>
        <v>S2-2016</v>
      </c>
      <c r="F6" t="str">
        <f t="shared" si="4"/>
        <v>décembre</v>
      </c>
      <c r="G6" t="str">
        <f t="shared" si="5"/>
        <v>december-2016</v>
      </c>
      <c r="H6" t="str">
        <f t="shared" si="6"/>
        <v>dec-16</v>
      </c>
      <c r="I6" s="2">
        <f t="shared" si="7"/>
        <v>201612</v>
      </c>
      <c r="J6" t="str">
        <f t="shared" si="8"/>
        <v>saturday</v>
      </c>
      <c r="K6" t="str">
        <f t="shared" si="9"/>
        <v>6</v>
      </c>
      <c r="L6">
        <f t="shared" si="10"/>
        <v>52</v>
      </c>
      <c r="M6">
        <f t="shared" si="11"/>
        <v>53</v>
      </c>
      <c r="N6" s="1">
        <f t="shared" si="12"/>
        <v>42705</v>
      </c>
      <c r="O6" s="1">
        <f t="shared" si="13"/>
        <v>42735</v>
      </c>
      <c r="P6" s="1">
        <f t="shared" si="14"/>
        <v>42794</v>
      </c>
      <c r="Q6" s="1">
        <f t="shared" si="15"/>
        <v>42674</v>
      </c>
      <c r="R6" s="1">
        <f t="shared" si="16"/>
        <v>42740</v>
      </c>
      <c r="S6" s="1">
        <f t="shared" si="17"/>
        <v>42731</v>
      </c>
      <c r="T6" s="1">
        <f t="shared" si="18"/>
        <v>43100</v>
      </c>
      <c r="U6" s="1">
        <f t="shared" si="19"/>
        <v>42369</v>
      </c>
      <c r="V6" s="2">
        <f t="shared" si="20"/>
        <v>0</v>
      </c>
      <c r="W6">
        <f t="shared" si="21"/>
        <v>0</v>
      </c>
      <c r="X6">
        <f t="shared" si="22"/>
        <v>1</v>
      </c>
      <c r="Y6" s="1">
        <f t="shared" si="23"/>
        <v>42737</v>
      </c>
      <c r="Z6" s="1">
        <f t="shared" si="24"/>
        <v>42735</v>
      </c>
      <c r="AA6" s="1">
        <f t="shared" si="25"/>
        <v>42734</v>
      </c>
      <c r="AB6" s="1">
        <f t="shared" si="26"/>
        <v>42734</v>
      </c>
      <c r="AC6" s="1">
        <f t="shared" si="27"/>
        <v>42736</v>
      </c>
      <c r="AD6" s="1">
        <f t="shared" si="28"/>
        <v>42705</v>
      </c>
      <c r="AE6" s="1">
        <f t="shared" si="29"/>
        <v>42705</v>
      </c>
      <c r="AF6" s="1">
        <f t="shared" si="30"/>
        <v>42734</v>
      </c>
      <c r="AG6" s="1">
        <f t="shared" si="31"/>
        <v>42735</v>
      </c>
      <c r="AH6">
        <f t="shared" si="32"/>
        <v>22</v>
      </c>
      <c r="AI6">
        <f t="shared" si="33"/>
        <v>27</v>
      </c>
      <c r="AJ6">
        <f t="shared" si="34"/>
        <v>20161231</v>
      </c>
      <c r="AK6" s="1">
        <f t="shared" si="35"/>
        <v>42735</v>
      </c>
      <c r="AL6">
        <f t="shared" si="36"/>
        <v>31</v>
      </c>
      <c r="AM6" s="1">
        <v>31466</v>
      </c>
      <c r="AN6" s="14">
        <f t="shared" si="37"/>
        <v>30</v>
      </c>
    </row>
    <row r="7" spans="1:40" x14ac:dyDescent="0.25">
      <c r="A7" s="1">
        <v>42767</v>
      </c>
      <c r="B7" t="str">
        <f t="shared" ref="B7:B9" si="38">Quarter(A7,"FR")</f>
        <v>T1</v>
      </c>
      <c r="C7" t="str">
        <f t="shared" ref="C7:C9" si="39">SEMESTER(A7)</f>
        <v>S1</v>
      </c>
      <c r="D7" t="str">
        <f t="shared" ref="D7:D9" si="40">QUARTERYEAR(A7,"FR")</f>
        <v>T1-2017</v>
      </c>
      <c r="E7" t="str">
        <f t="shared" ref="E7:E9" si="41">SEMESTERYEAR(A7)</f>
        <v>S1-2017</v>
      </c>
      <c r="F7" t="str">
        <f t="shared" ref="F7:F9" si="42">MONTHTEXT(A7,"FR")</f>
        <v>février</v>
      </c>
      <c r="G7" t="str">
        <f t="shared" ref="G7:G9" si="43">MONTHYEAR(A7,"EN")</f>
        <v>february-2017</v>
      </c>
      <c r="H7" t="str">
        <f t="shared" si="6"/>
        <v>feb-17</v>
      </c>
      <c r="I7" s="2">
        <f t="shared" si="7"/>
        <v>201702</v>
      </c>
      <c r="J7" t="str">
        <f t="shared" ref="J7:J9" si="44">DayWeek(A7)</f>
        <v>wednesday</v>
      </c>
      <c r="K7" t="str">
        <f t="shared" ref="K7:K9" si="45">NumDayWeek(A7)</f>
        <v>3</v>
      </c>
      <c r="L7">
        <f t="shared" ref="L7:L9" si="46">NumWeekYearEuro(A7)</f>
        <v>5</v>
      </c>
      <c r="M7">
        <f t="shared" ref="M7:M9" si="47">NumWeekYearDefault(A7)</f>
        <v>5</v>
      </c>
      <c r="N7" s="1">
        <f t="shared" ref="N7:N9" si="48">BeginMonth(A7)</f>
        <v>42767</v>
      </c>
      <c r="O7" s="1">
        <f t="shared" ref="O7:O9" si="49">EndMonth(A7)</f>
        <v>42794</v>
      </c>
      <c r="P7" s="1">
        <f t="shared" ref="P7:P9" si="50">AddMonth(A7,2)</f>
        <v>42826</v>
      </c>
      <c r="Q7" s="1">
        <f t="shared" ref="Q7:Q9" si="51">AddMonth(A7,-2)</f>
        <v>42705</v>
      </c>
      <c r="R7" s="1">
        <f t="shared" ref="R7:R35" si="52">AddDay(A7,5)</f>
        <v>42772</v>
      </c>
      <c r="S7" s="1">
        <f t="shared" ref="S7:S35" si="53">AddDay(A7,-4)</f>
        <v>42763</v>
      </c>
      <c r="T7" s="1">
        <f t="shared" ref="T7:T35" si="54">AddYear(A7,1)</f>
        <v>43132</v>
      </c>
      <c r="U7" s="1">
        <f t="shared" ref="U7:U35" si="55">AddYear(A7,-1)</f>
        <v>42401</v>
      </c>
      <c r="V7" s="2">
        <f t="shared" ref="V7:V35" si="56">PublicHolidayFr(A7)</f>
        <v>0</v>
      </c>
      <c r="W7">
        <f t="shared" si="21"/>
        <v>1</v>
      </c>
      <c r="X7">
        <f t="shared" si="22"/>
        <v>1</v>
      </c>
      <c r="Y7" s="1">
        <f t="shared" si="23"/>
        <v>42767</v>
      </c>
      <c r="Z7" s="1">
        <f t="shared" si="24"/>
        <v>42767</v>
      </c>
      <c r="AA7" s="1">
        <f t="shared" si="25"/>
        <v>42766</v>
      </c>
      <c r="AB7" s="1">
        <f t="shared" si="26"/>
        <v>42766</v>
      </c>
      <c r="AC7" s="1">
        <f t="shared" si="27"/>
        <v>42841</v>
      </c>
      <c r="AD7" s="1">
        <f t="shared" si="28"/>
        <v>42767</v>
      </c>
      <c r="AE7" s="1">
        <f t="shared" si="29"/>
        <v>42767</v>
      </c>
      <c r="AF7" s="1">
        <f t="shared" si="30"/>
        <v>42794</v>
      </c>
      <c r="AG7" s="1">
        <f t="shared" si="31"/>
        <v>42794</v>
      </c>
      <c r="AH7">
        <f t="shared" si="32"/>
        <v>20</v>
      </c>
      <c r="AI7">
        <f t="shared" si="33"/>
        <v>24</v>
      </c>
      <c r="AJ7">
        <f t="shared" si="34"/>
        <v>20170201</v>
      </c>
      <c r="AK7" s="1">
        <f t="shared" si="35"/>
        <v>42767</v>
      </c>
      <c r="AL7">
        <f t="shared" si="36"/>
        <v>31</v>
      </c>
      <c r="AM7" s="1">
        <v>31467</v>
      </c>
      <c r="AN7" s="14">
        <f t="shared" si="37"/>
        <v>30</v>
      </c>
    </row>
    <row r="8" spans="1:40" x14ac:dyDescent="0.25">
      <c r="A8" s="1">
        <v>42778</v>
      </c>
      <c r="B8" t="str">
        <f t="shared" si="38"/>
        <v>T1</v>
      </c>
      <c r="C8" t="str">
        <f t="shared" si="39"/>
        <v>S1</v>
      </c>
      <c r="D8" t="str">
        <f t="shared" si="40"/>
        <v>T1-2017</v>
      </c>
      <c r="E8" t="str">
        <f t="shared" si="41"/>
        <v>S1-2017</v>
      </c>
      <c r="F8" t="str">
        <f t="shared" si="42"/>
        <v>février</v>
      </c>
      <c r="G8" t="str">
        <f t="shared" si="43"/>
        <v>february-2017</v>
      </c>
      <c r="H8" t="str">
        <f t="shared" si="6"/>
        <v>feb-17</v>
      </c>
      <c r="I8" s="2">
        <f t="shared" si="7"/>
        <v>201702</v>
      </c>
      <c r="J8" t="str">
        <f t="shared" si="44"/>
        <v>sunday</v>
      </c>
      <c r="K8" t="str">
        <f t="shared" si="45"/>
        <v>7</v>
      </c>
      <c r="L8">
        <f t="shared" si="46"/>
        <v>6</v>
      </c>
      <c r="M8">
        <f t="shared" si="47"/>
        <v>7</v>
      </c>
      <c r="N8" s="1">
        <f t="shared" si="48"/>
        <v>42767</v>
      </c>
      <c r="O8" s="1">
        <f t="shared" si="49"/>
        <v>42794</v>
      </c>
      <c r="P8" s="1">
        <f t="shared" si="50"/>
        <v>42837</v>
      </c>
      <c r="Q8" s="1">
        <f t="shared" si="51"/>
        <v>42716</v>
      </c>
      <c r="R8" s="1">
        <f t="shared" si="52"/>
        <v>42783</v>
      </c>
      <c r="S8" s="1">
        <f t="shared" si="53"/>
        <v>42774</v>
      </c>
      <c r="T8" s="1">
        <f t="shared" si="54"/>
        <v>43143</v>
      </c>
      <c r="U8" s="1">
        <f t="shared" si="55"/>
        <v>42412</v>
      </c>
      <c r="V8" s="2">
        <f t="shared" si="56"/>
        <v>0</v>
      </c>
      <c r="W8">
        <f t="shared" si="21"/>
        <v>0</v>
      </c>
      <c r="X8">
        <f t="shared" si="22"/>
        <v>0</v>
      </c>
      <c r="Y8" s="1">
        <f t="shared" si="23"/>
        <v>42779</v>
      </c>
      <c r="Z8" s="1">
        <f t="shared" si="24"/>
        <v>42779</v>
      </c>
      <c r="AA8" s="1">
        <f t="shared" si="25"/>
        <v>42777</v>
      </c>
      <c r="AB8" s="1">
        <f t="shared" si="26"/>
        <v>42777</v>
      </c>
      <c r="AC8" s="1">
        <f t="shared" si="27"/>
        <v>42841</v>
      </c>
      <c r="AD8" s="1">
        <f t="shared" si="28"/>
        <v>42767</v>
      </c>
      <c r="AE8" s="1">
        <f t="shared" si="29"/>
        <v>42767</v>
      </c>
      <c r="AF8" s="1">
        <f t="shared" si="30"/>
        <v>42794</v>
      </c>
      <c r="AG8" s="1">
        <f t="shared" si="31"/>
        <v>42794</v>
      </c>
      <c r="AH8">
        <f t="shared" si="32"/>
        <v>20</v>
      </c>
      <c r="AI8">
        <f t="shared" si="33"/>
        <v>24</v>
      </c>
      <c r="AJ8">
        <f t="shared" si="34"/>
        <v>20170212</v>
      </c>
      <c r="AK8" s="1">
        <f t="shared" si="35"/>
        <v>42778</v>
      </c>
      <c r="AL8">
        <f t="shared" si="36"/>
        <v>31</v>
      </c>
      <c r="AM8" s="1">
        <v>31468</v>
      </c>
      <c r="AN8" s="14">
        <f t="shared" si="37"/>
        <v>30</v>
      </c>
    </row>
    <row r="9" spans="1:40" x14ac:dyDescent="0.25">
      <c r="A9" s="1">
        <v>42737</v>
      </c>
      <c r="B9" t="str">
        <f t="shared" si="38"/>
        <v>T1</v>
      </c>
      <c r="C9" t="str">
        <f t="shared" si="39"/>
        <v>S1</v>
      </c>
      <c r="D9" t="str">
        <f t="shared" si="40"/>
        <v>T1-2017</v>
      </c>
      <c r="E9" t="str">
        <f t="shared" si="41"/>
        <v>S1-2017</v>
      </c>
      <c r="F9" t="str">
        <f t="shared" si="42"/>
        <v>janvier</v>
      </c>
      <c r="G9" t="str">
        <f t="shared" si="43"/>
        <v>january-2017</v>
      </c>
      <c r="H9" t="str">
        <f t="shared" si="6"/>
        <v>jan-17</v>
      </c>
      <c r="I9" s="2">
        <f t="shared" si="7"/>
        <v>201701</v>
      </c>
      <c r="J9" t="str">
        <f t="shared" si="44"/>
        <v>monday</v>
      </c>
      <c r="K9" t="str">
        <f t="shared" si="45"/>
        <v>1</v>
      </c>
      <c r="L9">
        <f t="shared" si="46"/>
        <v>1</v>
      </c>
      <c r="M9">
        <f t="shared" si="47"/>
        <v>1</v>
      </c>
      <c r="N9" s="1">
        <f t="shared" si="48"/>
        <v>42736</v>
      </c>
      <c r="O9" s="1">
        <f t="shared" si="49"/>
        <v>42766</v>
      </c>
      <c r="P9" s="1">
        <f t="shared" si="50"/>
        <v>42796</v>
      </c>
      <c r="Q9" s="1">
        <f t="shared" si="51"/>
        <v>42676</v>
      </c>
      <c r="R9" s="1">
        <f t="shared" si="52"/>
        <v>42742</v>
      </c>
      <c r="S9" s="1">
        <f t="shared" si="53"/>
        <v>42733</v>
      </c>
      <c r="T9" s="1">
        <f t="shared" si="54"/>
        <v>43102</v>
      </c>
      <c r="U9" s="1">
        <f t="shared" si="55"/>
        <v>42371</v>
      </c>
      <c r="V9" s="2">
        <f t="shared" si="56"/>
        <v>0</v>
      </c>
      <c r="W9">
        <f t="shared" si="21"/>
        <v>1</v>
      </c>
      <c r="X9">
        <f t="shared" si="22"/>
        <v>1</v>
      </c>
      <c r="Y9" s="1">
        <f t="shared" si="23"/>
        <v>42737</v>
      </c>
      <c r="Z9" s="1">
        <f t="shared" si="24"/>
        <v>42737</v>
      </c>
      <c r="AA9" s="1">
        <f t="shared" si="25"/>
        <v>42735</v>
      </c>
      <c r="AB9" s="1">
        <f t="shared" si="26"/>
        <v>42735</v>
      </c>
      <c r="AC9" s="1">
        <f t="shared" si="27"/>
        <v>42841</v>
      </c>
      <c r="AD9" s="1">
        <f t="shared" si="28"/>
        <v>42737</v>
      </c>
      <c r="AE9" s="1">
        <f t="shared" si="29"/>
        <v>42737</v>
      </c>
      <c r="AF9" s="1">
        <f t="shared" si="30"/>
        <v>42766</v>
      </c>
      <c r="AG9" s="1">
        <f t="shared" si="31"/>
        <v>42766</v>
      </c>
      <c r="AH9">
        <f t="shared" si="32"/>
        <v>22</v>
      </c>
      <c r="AI9">
        <f t="shared" si="33"/>
        <v>26</v>
      </c>
      <c r="AJ9">
        <f t="shared" si="34"/>
        <v>20170102</v>
      </c>
      <c r="AK9" s="1">
        <f t="shared" si="35"/>
        <v>42737</v>
      </c>
      <c r="AL9">
        <f t="shared" si="36"/>
        <v>31</v>
      </c>
      <c r="AM9" s="1">
        <v>31469</v>
      </c>
      <c r="AN9" s="14">
        <f t="shared" si="37"/>
        <v>30</v>
      </c>
    </row>
    <row r="10" spans="1:40" x14ac:dyDescent="0.25">
      <c r="A10" s="1">
        <v>42796</v>
      </c>
      <c r="B10" t="str">
        <f t="shared" ref="B10:B35" si="57">Quarter(A10,"FR")</f>
        <v>T1</v>
      </c>
      <c r="C10" t="str">
        <f t="shared" ref="C10:C35" si="58">SEMESTER(A10)</f>
        <v>S1</v>
      </c>
      <c r="D10" t="str">
        <f t="shared" ref="D10:D35" si="59">QUARTERYEAR(A10,"FR")</f>
        <v>T1-2017</v>
      </c>
      <c r="E10" t="str">
        <f t="shared" ref="E10:E35" si="60">SEMESTERYEAR(A10)</f>
        <v>S1-2017</v>
      </c>
      <c r="F10" t="str">
        <f t="shared" ref="F10:F35" si="61">MONTHTEXT(A10,"FR")</f>
        <v>mars</v>
      </c>
      <c r="G10" t="str">
        <f t="shared" ref="G10:G35" si="62">MONTHYEAR(A10,"EN")</f>
        <v>march-2017</v>
      </c>
      <c r="H10" t="str">
        <f t="shared" si="6"/>
        <v>mar-17</v>
      </c>
      <c r="I10" s="2">
        <f t="shared" si="7"/>
        <v>201703</v>
      </c>
      <c r="J10" t="str">
        <f t="shared" ref="J10:J35" si="63">DayWeek(A10)</f>
        <v>thursday</v>
      </c>
      <c r="K10" t="str">
        <f t="shared" ref="K10:K35" si="64">NumDayWeek(A10)</f>
        <v>4</v>
      </c>
      <c r="L10">
        <f t="shared" ref="L10:L35" si="65">NumWeekYearEuro(A10)</f>
        <v>9</v>
      </c>
      <c r="M10">
        <f t="shared" ref="M10:M35" si="66">NumWeekYearDefault(A10)</f>
        <v>9</v>
      </c>
      <c r="N10" s="1">
        <f t="shared" ref="N10:N35" si="67">BeginMonth(A10)</f>
        <v>42795</v>
      </c>
      <c r="O10" s="1">
        <f t="shared" ref="O10:O35" si="68">EndMonth(A10)</f>
        <v>42825</v>
      </c>
      <c r="P10" s="1">
        <f t="shared" ref="P10:P35" si="69">AddMonth(A10,2)</f>
        <v>42857</v>
      </c>
      <c r="Q10" s="1">
        <f t="shared" ref="Q10:Q35" si="70">AddMonth(A10,-2)</f>
        <v>42737</v>
      </c>
      <c r="R10" s="1">
        <f t="shared" si="52"/>
        <v>42801</v>
      </c>
      <c r="S10" s="1">
        <f t="shared" si="53"/>
        <v>42792</v>
      </c>
      <c r="T10" s="1">
        <f t="shared" si="54"/>
        <v>43161</v>
      </c>
      <c r="U10" s="1">
        <f t="shared" si="55"/>
        <v>42431</v>
      </c>
      <c r="V10" s="2">
        <f t="shared" si="56"/>
        <v>0</v>
      </c>
      <c r="W10">
        <f t="shared" si="21"/>
        <v>1</v>
      </c>
      <c r="X10">
        <f t="shared" si="22"/>
        <v>1</v>
      </c>
      <c r="Y10" s="1">
        <f t="shared" si="23"/>
        <v>42796</v>
      </c>
      <c r="Z10" s="1">
        <f t="shared" si="24"/>
        <v>42796</v>
      </c>
      <c r="AA10" s="1">
        <f t="shared" si="25"/>
        <v>42795</v>
      </c>
      <c r="AB10" s="1">
        <f t="shared" si="26"/>
        <v>42795</v>
      </c>
      <c r="AC10" s="1">
        <f t="shared" si="27"/>
        <v>42841</v>
      </c>
      <c r="AD10" s="1">
        <f t="shared" si="28"/>
        <v>42795</v>
      </c>
      <c r="AE10" s="1">
        <f t="shared" si="29"/>
        <v>42795</v>
      </c>
      <c r="AF10" s="1">
        <f t="shared" si="30"/>
        <v>42825</v>
      </c>
      <c r="AG10" s="1">
        <f t="shared" si="31"/>
        <v>42825</v>
      </c>
      <c r="AH10">
        <f t="shared" si="32"/>
        <v>23</v>
      </c>
      <c r="AI10">
        <f t="shared" si="33"/>
        <v>27</v>
      </c>
      <c r="AJ10">
        <f t="shared" si="34"/>
        <v>20170302</v>
      </c>
      <c r="AK10" s="1">
        <f t="shared" si="35"/>
        <v>42796</v>
      </c>
      <c r="AL10">
        <f t="shared" si="36"/>
        <v>31</v>
      </c>
      <c r="AM10" s="1">
        <v>31470</v>
      </c>
      <c r="AN10" s="14">
        <f t="shared" si="37"/>
        <v>31</v>
      </c>
    </row>
    <row r="11" spans="1:40" x14ac:dyDescent="0.25">
      <c r="A11" s="1">
        <v>42792</v>
      </c>
      <c r="B11" t="str">
        <f t="shared" ref="B11" si="71">Quarter(A11,"FR")</f>
        <v>T1</v>
      </c>
      <c r="C11" t="str">
        <f t="shared" ref="C11" si="72">SEMESTER(A11)</f>
        <v>S1</v>
      </c>
      <c r="D11" t="str">
        <f t="shared" ref="D11" si="73">QUARTERYEAR(A11,"FR")</f>
        <v>T1-2017</v>
      </c>
      <c r="E11" t="str">
        <f t="shared" ref="E11" si="74">SEMESTERYEAR(A11)</f>
        <v>S1-2017</v>
      </c>
      <c r="F11" t="str">
        <f t="shared" ref="F11" si="75">MONTHTEXT(A11,"FR")</f>
        <v>février</v>
      </c>
      <c r="G11" t="str">
        <f t="shared" ref="G11" si="76">MONTHYEAR(A11,"EN")</f>
        <v>february-2017</v>
      </c>
      <c r="H11" t="str">
        <f t="shared" ref="H11" si="77">MonthYearMini(A11)</f>
        <v>feb-17</v>
      </c>
      <c r="I11" s="2">
        <f t="shared" ref="I11" si="78">MonthYearNum(A11)</f>
        <v>201702</v>
      </c>
      <c r="J11" t="str">
        <f t="shared" ref="J11" si="79">DayWeek(A11)</f>
        <v>sunday</v>
      </c>
      <c r="K11" t="str">
        <f t="shared" ref="K11" si="80">NumDayWeek(A11)</f>
        <v>7</v>
      </c>
      <c r="L11">
        <f t="shared" ref="L11" si="81">NumWeekYearEuro(A11)</f>
        <v>8</v>
      </c>
      <c r="M11">
        <f t="shared" ref="M11" si="82">NumWeekYearDefault(A11)</f>
        <v>9</v>
      </c>
      <c r="N11" s="1">
        <f t="shared" ref="N11" si="83">BeginMonth(A11)</f>
        <v>42767</v>
      </c>
      <c r="O11" s="1">
        <f t="shared" ref="O11" si="84">EndMonth(A11)</f>
        <v>42794</v>
      </c>
      <c r="P11" s="1">
        <f t="shared" ref="P11" si="85">AddMonth(A11,2)</f>
        <v>42851</v>
      </c>
      <c r="Q11" s="1">
        <f t="shared" ref="Q11" si="86">AddMonth(A11,-2)</f>
        <v>42730</v>
      </c>
      <c r="R11" s="1">
        <f t="shared" ref="R11" si="87">AddDay(A11,5)</f>
        <v>42797</v>
      </c>
      <c r="S11" s="1">
        <f t="shared" ref="S11" si="88">AddDay(A11,-4)</f>
        <v>42788</v>
      </c>
      <c r="T11" s="1">
        <f t="shared" ref="T11" si="89">AddYear(A11,1)</f>
        <v>43157</v>
      </c>
      <c r="U11" s="1">
        <f t="shared" ref="U11" si="90">AddYear(A11,-1)</f>
        <v>42426</v>
      </c>
      <c r="V11" s="2">
        <f t="shared" ref="V11" si="91">PublicHolidayFr(A11)</f>
        <v>0</v>
      </c>
      <c r="W11">
        <f t="shared" ref="W11" si="92">WorkingDay(A11)</f>
        <v>0</v>
      </c>
      <c r="X11">
        <f t="shared" ref="X11" si="93">WorkableDay(A11)</f>
        <v>0</v>
      </c>
      <c r="Y11" s="1">
        <f t="shared" ref="Y11" si="94">NextWorkingDay(A11)</f>
        <v>42793</v>
      </c>
      <c r="Z11" s="1">
        <f t="shared" ref="Z11" si="95">NextWorkableDay(A11)</f>
        <v>42793</v>
      </c>
      <c r="AA11" s="1">
        <f t="shared" ref="AA11" si="96">PrevWorkingDay(A11)</f>
        <v>42791</v>
      </c>
      <c r="AB11" s="1">
        <f t="shared" ref="AB11" si="97">PrevWorkableDay(A11)</f>
        <v>42791</v>
      </c>
      <c r="AC11" s="1">
        <f t="shared" ref="AC11" si="98">NextPublicHoliday(A11)</f>
        <v>42841</v>
      </c>
      <c r="AD11" s="1">
        <f t="shared" ref="AD11" si="99">FirstWorkingDayMonth(A11)</f>
        <v>42767</v>
      </c>
      <c r="AE11" s="1">
        <f t="shared" ref="AE11" si="100">FirstWorkableDayMonth(A11)</f>
        <v>42767</v>
      </c>
      <c r="AF11" s="1">
        <f t="shared" ref="AF11" si="101">LastWorkingDayMonth(A11)</f>
        <v>42794</v>
      </c>
      <c r="AG11" s="1">
        <f t="shared" ref="AG11" si="102">LastWorkableDayMonth(A11)</f>
        <v>42794</v>
      </c>
      <c r="AH11">
        <f t="shared" ref="AH11" si="103">NumberWorkinDayMonth(A11)</f>
        <v>20</v>
      </c>
      <c r="AI11">
        <f t="shared" ref="AI11" si="104">NumberWorkableDayMonth(A11)</f>
        <v>24</v>
      </c>
      <c r="AJ11">
        <f t="shared" ref="AJ11" si="105">DateToNum(A11)</f>
        <v>20170226</v>
      </c>
      <c r="AK11" s="1">
        <f t="shared" si="35"/>
        <v>42792</v>
      </c>
      <c r="AL11">
        <f t="shared" si="36"/>
        <v>1</v>
      </c>
      <c r="AM11" s="1">
        <v>42429</v>
      </c>
      <c r="AN11" s="14">
        <f t="shared" si="37"/>
        <v>0</v>
      </c>
    </row>
    <row r="12" spans="1:40" x14ac:dyDescent="0.25">
      <c r="A12" s="1">
        <v>42793</v>
      </c>
      <c r="B12" t="str">
        <f t="shared" si="57"/>
        <v>T1</v>
      </c>
      <c r="C12" t="str">
        <f t="shared" si="58"/>
        <v>S1</v>
      </c>
      <c r="D12" t="str">
        <f t="shared" si="59"/>
        <v>T1-2017</v>
      </c>
      <c r="E12" t="str">
        <f t="shared" si="60"/>
        <v>S1-2017</v>
      </c>
      <c r="F12" t="str">
        <f t="shared" si="61"/>
        <v>février</v>
      </c>
      <c r="G12" t="str">
        <f t="shared" si="62"/>
        <v>february-2017</v>
      </c>
      <c r="H12" t="str">
        <f t="shared" si="6"/>
        <v>feb-17</v>
      </c>
      <c r="I12" s="2">
        <f t="shared" si="7"/>
        <v>201702</v>
      </c>
      <c r="J12" t="str">
        <f t="shared" si="63"/>
        <v>monday</v>
      </c>
      <c r="K12" t="str">
        <f t="shared" si="64"/>
        <v>1</v>
      </c>
      <c r="L12">
        <f t="shared" si="65"/>
        <v>9</v>
      </c>
      <c r="M12">
        <f t="shared" si="66"/>
        <v>9</v>
      </c>
      <c r="N12" s="1">
        <f t="shared" si="67"/>
        <v>42767</v>
      </c>
      <c r="O12" s="1">
        <f t="shared" si="68"/>
        <v>42794</v>
      </c>
      <c r="P12" s="1">
        <f t="shared" si="69"/>
        <v>42852</v>
      </c>
      <c r="Q12" s="1">
        <f t="shared" si="70"/>
        <v>42731</v>
      </c>
      <c r="R12" s="1">
        <f t="shared" si="52"/>
        <v>42798</v>
      </c>
      <c r="S12" s="1">
        <f t="shared" si="53"/>
        <v>42789</v>
      </c>
      <c r="T12" s="1">
        <f t="shared" si="54"/>
        <v>43158</v>
      </c>
      <c r="U12" s="1">
        <f t="shared" si="55"/>
        <v>42427</v>
      </c>
      <c r="V12" s="2">
        <f t="shared" si="56"/>
        <v>0</v>
      </c>
      <c r="W12">
        <f t="shared" si="21"/>
        <v>1</v>
      </c>
      <c r="X12">
        <f t="shared" si="22"/>
        <v>1</v>
      </c>
      <c r="Y12" s="1">
        <f t="shared" si="23"/>
        <v>42793</v>
      </c>
      <c r="Z12" s="1">
        <f t="shared" si="24"/>
        <v>42793</v>
      </c>
      <c r="AA12" s="1">
        <f t="shared" si="25"/>
        <v>42791</v>
      </c>
      <c r="AB12" s="1">
        <f t="shared" si="26"/>
        <v>42791</v>
      </c>
      <c r="AC12" s="1">
        <f t="shared" si="27"/>
        <v>42841</v>
      </c>
      <c r="AD12" s="1">
        <f t="shared" si="28"/>
        <v>42767</v>
      </c>
      <c r="AE12" s="1">
        <f t="shared" si="29"/>
        <v>42767</v>
      </c>
      <c r="AF12" s="1">
        <f t="shared" si="30"/>
        <v>42794</v>
      </c>
      <c r="AG12" s="1">
        <f t="shared" si="31"/>
        <v>42794</v>
      </c>
      <c r="AH12">
        <f t="shared" si="32"/>
        <v>20</v>
      </c>
      <c r="AI12">
        <f t="shared" si="33"/>
        <v>24</v>
      </c>
      <c r="AJ12">
        <f t="shared" si="34"/>
        <v>20170227</v>
      </c>
      <c r="AK12" s="1">
        <f t="shared" si="35"/>
        <v>42793</v>
      </c>
      <c r="AL12">
        <f t="shared" si="36"/>
        <v>1</v>
      </c>
      <c r="AM12" s="1">
        <v>42429</v>
      </c>
      <c r="AN12" s="14">
        <f t="shared" si="37"/>
        <v>0</v>
      </c>
    </row>
    <row r="13" spans="1:40" x14ac:dyDescent="0.25">
      <c r="A13" s="1">
        <v>42794</v>
      </c>
      <c r="B13" t="str">
        <f t="shared" ref="B13:B14" si="106">Quarter(A13,"FR")</f>
        <v>T1</v>
      </c>
      <c r="C13" t="str">
        <f t="shared" ref="C13:C14" si="107">SEMESTER(A13)</f>
        <v>S1</v>
      </c>
      <c r="D13" t="str">
        <f t="shared" ref="D13:D14" si="108">QUARTERYEAR(A13,"FR")</f>
        <v>T1-2017</v>
      </c>
      <c r="E13" t="str">
        <f t="shared" ref="E13:E14" si="109">SEMESTERYEAR(A13)</f>
        <v>S1-2017</v>
      </c>
      <c r="F13" t="str">
        <f t="shared" ref="F13:F14" si="110">MONTHTEXT(A13,"FR")</f>
        <v>février</v>
      </c>
      <c r="G13" t="str">
        <f t="shared" ref="G13:G14" si="111">MONTHYEAR(A13,"EN")</f>
        <v>february-2017</v>
      </c>
      <c r="H13" t="str">
        <f t="shared" ref="H13:H14" si="112">MonthYearMini(A13)</f>
        <v>feb-17</v>
      </c>
      <c r="I13" s="2">
        <f t="shared" ref="I13:I14" si="113">MonthYearNum(A13)</f>
        <v>201702</v>
      </c>
      <c r="J13" t="str">
        <f t="shared" ref="J13:J14" si="114">DayWeek(A13)</f>
        <v>tuesday</v>
      </c>
      <c r="K13" t="str">
        <f t="shared" ref="K13:K14" si="115">NumDayWeek(A13)</f>
        <v>2</v>
      </c>
      <c r="L13">
        <f t="shared" ref="L13:L14" si="116">NumWeekYearEuro(A13)</f>
        <v>9</v>
      </c>
      <c r="M13">
        <f t="shared" ref="M13:M14" si="117">NumWeekYearDefault(A13)</f>
        <v>9</v>
      </c>
      <c r="N13" s="1">
        <f t="shared" ref="N13:N14" si="118">BeginMonth(A13)</f>
        <v>42767</v>
      </c>
      <c r="O13" s="1">
        <f t="shared" ref="O13:O14" si="119">EndMonth(A13)</f>
        <v>42794</v>
      </c>
      <c r="P13" s="1">
        <f t="shared" ref="P13:P14" si="120">AddMonth(A13,2)</f>
        <v>42853</v>
      </c>
      <c r="Q13" s="1">
        <f t="shared" ref="Q13:Q14" si="121">AddMonth(A13,-2)</f>
        <v>42732</v>
      </c>
      <c r="R13" s="1">
        <f t="shared" ref="R13:R14" si="122">AddDay(A13,5)</f>
        <v>42799</v>
      </c>
      <c r="S13" s="1">
        <f t="shared" ref="S13:S14" si="123">AddDay(A13,-4)</f>
        <v>42790</v>
      </c>
      <c r="T13" s="1">
        <f t="shared" ref="T13:T14" si="124">AddYear(A13,1)</f>
        <v>43159</v>
      </c>
      <c r="U13" s="1">
        <f t="shared" ref="U13:U14" si="125">AddYear(A13,-1)</f>
        <v>42428</v>
      </c>
      <c r="V13" s="2">
        <f t="shared" ref="V13:V14" si="126">PublicHolidayFr(A13)</f>
        <v>0</v>
      </c>
      <c r="W13">
        <f t="shared" ref="W13:W14" si="127">WorkingDay(A13)</f>
        <v>1</v>
      </c>
      <c r="X13">
        <f t="shared" ref="X13:X14" si="128">WorkableDay(A13)</f>
        <v>1</v>
      </c>
      <c r="Y13" s="1">
        <f t="shared" ref="Y13:Y14" si="129">NextWorkingDay(A13)</f>
        <v>42794</v>
      </c>
      <c r="Z13" s="1">
        <f t="shared" ref="Z13:Z14" si="130">NextWorkableDay(A13)</f>
        <v>42794</v>
      </c>
      <c r="AA13" s="1">
        <f t="shared" ref="AA13:AA14" si="131">PrevWorkingDay(A13)</f>
        <v>42793</v>
      </c>
      <c r="AB13" s="1">
        <f t="shared" ref="AB13:AB14" si="132">PrevWorkableDay(A13)</f>
        <v>42793</v>
      </c>
      <c r="AC13" s="1">
        <f t="shared" ref="AC13:AC14" si="133">NextPublicHoliday(A13)</f>
        <v>42841</v>
      </c>
      <c r="AD13" s="1">
        <f t="shared" ref="AD13:AD14" si="134">FirstWorkingDayMonth(A13)</f>
        <v>42767</v>
      </c>
      <c r="AE13" s="1">
        <f t="shared" ref="AE13:AE14" si="135">FirstWorkableDayMonth(A13)</f>
        <v>42767</v>
      </c>
      <c r="AF13" s="1">
        <f t="shared" ref="AF13:AF14" si="136">LastWorkingDayMonth(A13)</f>
        <v>42794</v>
      </c>
      <c r="AG13" s="1">
        <f t="shared" ref="AG13:AG14" si="137">LastWorkableDayMonth(A13)</f>
        <v>42794</v>
      </c>
      <c r="AH13">
        <f t="shared" ref="AH13:AH14" si="138">NumberWorkinDayMonth(A13)</f>
        <v>20</v>
      </c>
      <c r="AI13">
        <f t="shared" ref="AI13:AI14" si="139">NumberWorkableDayMonth(A13)</f>
        <v>24</v>
      </c>
      <c r="AJ13">
        <f t="shared" ref="AJ13:AJ14" si="140">DateToNum(A13)</f>
        <v>20170228</v>
      </c>
      <c r="AK13" s="1">
        <f t="shared" si="35"/>
        <v>42794</v>
      </c>
      <c r="AL13">
        <f t="shared" si="36"/>
        <v>1</v>
      </c>
      <c r="AM13" s="1">
        <v>42429</v>
      </c>
      <c r="AN13" s="14">
        <f t="shared" si="37"/>
        <v>0</v>
      </c>
    </row>
    <row r="14" spans="1:40" x14ac:dyDescent="0.25">
      <c r="A14" s="1">
        <v>42795</v>
      </c>
      <c r="B14" t="str">
        <f t="shared" si="106"/>
        <v>T1</v>
      </c>
      <c r="C14" t="str">
        <f t="shared" si="107"/>
        <v>S1</v>
      </c>
      <c r="D14" t="str">
        <f t="shared" si="108"/>
        <v>T1-2017</v>
      </c>
      <c r="E14" t="str">
        <f t="shared" si="109"/>
        <v>S1-2017</v>
      </c>
      <c r="F14" t="str">
        <f t="shared" si="110"/>
        <v>mars</v>
      </c>
      <c r="G14" t="str">
        <f t="shared" si="111"/>
        <v>march-2017</v>
      </c>
      <c r="H14" t="str">
        <f t="shared" si="112"/>
        <v>mar-17</v>
      </c>
      <c r="I14" s="2">
        <f t="shared" si="113"/>
        <v>201703</v>
      </c>
      <c r="J14" t="str">
        <f t="shared" si="114"/>
        <v>wednesday</v>
      </c>
      <c r="K14" t="str">
        <f t="shared" si="115"/>
        <v>3</v>
      </c>
      <c r="L14">
        <f t="shared" si="116"/>
        <v>9</v>
      </c>
      <c r="M14">
        <f t="shared" si="117"/>
        <v>9</v>
      </c>
      <c r="N14" s="1">
        <f t="shared" si="118"/>
        <v>42795</v>
      </c>
      <c r="O14" s="1">
        <f t="shared" si="119"/>
        <v>42825</v>
      </c>
      <c r="P14" s="1">
        <f t="shared" si="120"/>
        <v>42856</v>
      </c>
      <c r="Q14" s="1">
        <f t="shared" si="121"/>
        <v>42736</v>
      </c>
      <c r="R14" s="1">
        <f t="shared" si="122"/>
        <v>42800</v>
      </c>
      <c r="S14" s="1">
        <f t="shared" si="123"/>
        <v>42791</v>
      </c>
      <c r="T14" s="1">
        <f t="shared" si="124"/>
        <v>43160</v>
      </c>
      <c r="U14" s="1">
        <f t="shared" si="125"/>
        <v>42430</v>
      </c>
      <c r="V14" s="2">
        <f t="shared" si="126"/>
        <v>0</v>
      </c>
      <c r="W14">
        <f t="shared" si="127"/>
        <v>1</v>
      </c>
      <c r="X14">
        <f t="shared" si="128"/>
        <v>1</v>
      </c>
      <c r="Y14" s="1">
        <f t="shared" si="129"/>
        <v>42795</v>
      </c>
      <c r="Z14" s="1">
        <f t="shared" si="130"/>
        <v>42795</v>
      </c>
      <c r="AA14" s="1">
        <f t="shared" si="131"/>
        <v>42794</v>
      </c>
      <c r="AB14" s="1">
        <f t="shared" si="132"/>
        <v>42794</v>
      </c>
      <c r="AC14" s="1">
        <f t="shared" si="133"/>
        <v>42841</v>
      </c>
      <c r="AD14" s="1">
        <f t="shared" si="134"/>
        <v>42795</v>
      </c>
      <c r="AE14" s="1">
        <f t="shared" si="135"/>
        <v>42795</v>
      </c>
      <c r="AF14" s="1">
        <f t="shared" si="136"/>
        <v>42825</v>
      </c>
      <c r="AG14" s="1">
        <f t="shared" si="137"/>
        <v>42825</v>
      </c>
      <c r="AH14">
        <f t="shared" si="138"/>
        <v>23</v>
      </c>
      <c r="AI14">
        <f t="shared" si="139"/>
        <v>27</v>
      </c>
      <c r="AJ14">
        <f t="shared" si="140"/>
        <v>20170301</v>
      </c>
      <c r="AK14" s="1">
        <f t="shared" si="35"/>
        <v>42795</v>
      </c>
      <c r="AL14">
        <f t="shared" si="36"/>
        <v>1</v>
      </c>
      <c r="AM14" s="1">
        <v>42429</v>
      </c>
      <c r="AN14" s="14">
        <f t="shared" si="37"/>
        <v>1</v>
      </c>
    </row>
    <row r="15" spans="1:40" x14ac:dyDescent="0.25">
      <c r="A15" s="1">
        <v>42798</v>
      </c>
      <c r="B15" t="str">
        <f t="shared" si="57"/>
        <v>T1</v>
      </c>
      <c r="C15" t="str">
        <f t="shared" si="58"/>
        <v>S1</v>
      </c>
      <c r="D15" t="str">
        <f t="shared" si="59"/>
        <v>T1-2017</v>
      </c>
      <c r="E15" t="str">
        <f t="shared" si="60"/>
        <v>S1-2017</v>
      </c>
      <c r="F15" t="str">
        <f t="shared" si="61"/>
        <v>mars</v>
      </c>
      <c r="G15" t="str">
        <f t="shared" si="62"/>
        <v>march-2017</v>
      </c>
      <c r="H15" t="str">
        <f t="shared" si="6"/>
        <v>mar-17</v>
      </c>
      <c r="I15" s="2">
        <f t="shared" si="7"/>
        <v>201703</v>
      </c>
      <c r="J15" t="str">
        <f t="shared" si="63"/>
        <v>saturday</v>
      </c>
      <c r="K15" t="str">
        <f t="shared" si="64"/>
        <v>6</v>
      </c>
      <c r="L15">
        <f t="shared" si="65"/>
        <v>9</v>
      </c>
      <c r="M15">
        <f t="shared" si="66"/>
        <v>9</v>
      </c>
      <c r="N15" s="1">
        <f t="shared" si="67"/>
        <v>42795</v>
      </c>
      <c r="O15" s="1">
        <f t="shared" si="68"/>
        <v>42825</v>
      </c>
      <c r="P15" s="1">
        <f t="shared" si="69"/>
        <v>42859</v>
      </c>
      <c r="Q15" s="1">
        <f t="shared" si="70"/>
        <v>42739</v>
      </c>
      <c r="R15" s="1">
        <f t="shared" si="52"/>
        <v>42803</v>
      </c>
      <c r="S15" s="1">
        <f t="shared" si="53"/>
        <v>42794</v>
      </c>
      <c r="T15" s="1">
        <f t="shared" si="54"/>
        <v>43163</v>
      </c>
      <c r="U15" s="1">
        <f t="shared" si="55"/>
        <v>42433</v>
      </c>
      <c r="V15" s="2">
        <f t="shared" si="56"/>
        <v>0</v>
      </c>
      <c r="W15">
        <f t="shared" si="21"/>
        <v>0</v>
      </c>
      <c r="X15">
        <f t="shared" si="22"/>
        <v>1</v>
      </c>
      <c r="Y15" s="1">
        <f t="shared" si="23"/>
        <v>42800</v>
      </c>
      <c r="Z15" s="1">
        <f t="shared" si="24"/>
        <v>42798</v>
      </c>
      <c r="AA15" s="1">
        <f t="shared" si="25"/>
        <v>42797</v>
      </c>
      <c r="AB15" s="1">
        <f t="shared" si="26"/>
        <v>42797</v>
      </c>
      <c r="AC15" s="1">
        <f t="shared" si="27"/>
        <v>42841</v>
      </c>
      <c r="AD15" s="1">
        <f t="shared" si="28"/>
        <v>42795</v>
      </c>
      <c r="AE15" s="1">
        <f t="shared" si="29"/>
        <v>42795</v>
      </c>
      <c r="AF15" s="1">
        <f t="shared" si="30"/>
        <v>42825</v>
      </c>
      <c r="AG15" s="1">
        <f t="shared" si="31"/>
        <v>42825</v>
      </c>
      <c r="AH15">
        <f t="shared" si="32"/>
        <v>23</v>
      </c>
      <c r="AI15">
        <f t="shared" si="33"/>
        <v>27</v>
      </c>
      <c r="AJ15">
        <f t="shared" si="34"/>
        <v>20170304</v>
      </c>
      <c r="AK15" s="1">
        <f t="shared" si="35"/>
        <v>42798</v>
      </c>
      <c r="AL15">
        <f t="shared" si="36"/>
        <v>31</v>
      </c>
      <c r="AM15" s="1">
        <v>31472</v>
      </c>
      <c r="AN15" s="14">
        <f t="shared" si="37"/>
        <v>31</v>
      </c>
    </row>
    <row r="16" spans="1:40" x14ac:dyDescent="0.25">
      <c r="A16" s="1">
        <v>42794</v>
      </c>
      <c r="B16" t="str">
        <f t="shared" si="57"/>
        <v>T1</v>
      </c>
      <c r="C16" t="str">
        <f t="shared" si="58"/>
        <v>S1</v>
      </c>
      <c r="D16" t="str">
        <f t="shared" si="59"/>
        <v>T1-2017</v>
      </c>
      <c r="E16" t="str">
        <f t="shared" si="60"/>
        <v>S1-2017</v>
      </c>
      <c r="F16" t="str">
        <f t="shared" si="61"/>
        <v>février</v>
      </c>
      <c r="G16" t="str">
        <f t="shared" si="62"/>
        <v>february-2017</v>
      </c>
      <c r="H16" t="str">
        <f t="shared" si="6"/>
        <v>feb-17</v>
      </c>
      <c r="I16" s="2">
        <f t="shared" si="7"/>
        <v>201702</v>
      </c>
      <c r="J16" t="str">
        <f t="shared" si="63"/>
        <v>tuesday</v>
      </c>
      <c r="K16" t="str">
        <f t="shared" si="64"/>
        <v>2</v>
      </c>
      <c r="L16">
        <f t="shared" si="65"/>
        <v>9</v>
      </c>
      <c r="M16">
        <f t="shared" si="66"/>
        <v>9</v>
      </c>
      <c r="N16" s="1">
        <f t="shared" si="67"/>
        <v>42767</v>
      </c>
      <c r="O16" s="1">
        <f t="shared" si="68"/>
        <v>42794</v>
      </c>
      <c r="P16" s="1">
        <f t="shared" si="69"/>
        <v>42853</v>
      </c>
      <c r="Q16" s="1">
        <f t="shared" si="70"/>
        <v>42732</v>
      </c>
      <c r="R16" s="1">
        <f t="shared" si="52"/>
        <v>42799</v>
      </c>
      <c r="S16" s="1">
        <f t="shared" si="53"/>
        <v>42790</v>
      </c>
      <c r="T16" s="1">
        <f t="shared" si="54"/>
        <v>43159</v>
      </c>
      <c r="U16" s="1">
        <f t="shared" si="55"/>
        <v>42428</v>
      </c>
      <c r="V16" s="2">
        <f t="shared" si="56"/>
        <v>0</v>
      </c>
      <c r="W16">
        <f t="shared" si="21"/>
        <v>1</v>
      </c>
      <c r="X16">
        <f t="shared" si="22"/>
        <v>1</v>
      </c>
      <c r="Y16" s="1">
        <f t="shared" si="23"/>
        <v>42794</v>
      </c>
      <c r="Z16" s="1">
        <f t="shared" si="24"/>
        <v>42794</v>
      </c>
      <c r="AA16" s="1">
        <f t="shared" si="25"/>
        <v>42793</v>
      </c>
      <c r="AB16" s="1">
        <f t="shared" si="26"/>
        <v>42793</v>
      </c>
      <c r="AC16" s="1">
        <f t="shared" si="27"/>
        <v>42841</v>
      </c>
      <c r="AD16" s="1">
        <f t="shared" si="28"/>
        <v>42767</v>
      </c>
      <c r="AE16" s="1">
        <f t="shared" si="29"/>
        <v>42767</v>
      </c>
      <c r="AF16" s="1">
        <f t="shared" si="30"/>
        <v>42794</v>
      </c>
      <c r="AG16" s="1">
        <f t="shared" si="31"/>
        <v>42794</v>
      </c>
      <c r="AH16">
        <f t="shared" si="32"/>
        <v>20</v>
      </c>
      <c r="AI16">
        <f t="shared" si="33"/>
        <v>24</v>
      </c>
      <c r="AJ16">
        <f t="shared" si="34"/>
        <v>20170228</v>
      </c>
      <c r="AK16" s="1">
        <f t="shared" si="35"/>
        <v>42794</v>
      </c>
      <c r="AL16">
        <f t="shared" si="36"/>
        <v>31</v>
      </c>
      <c r="AM16" s="1">
        <v>31473</v>
      </c>
      <c r="AN16" s="14">
        <f t="shared" si="37"/>
        <v>30</v>
      </c>
    </row>
    <row r="17" spans="1:40" x14ac:dyDescent="0.25">
      <c r="A17" s="1">
        <v>42809</v>
      </c>
      <c r="B17" t="str">
        <f t="shared" si="57"/>
        <v>T1</v>
      </c>
      <c r="C17" t="str">
        <f t="shared" si="58"/>
        <v>S1</v>
      </c>
      <c r="D17" t="str">
        <f t="shared" si="59"/>
        <v>T1-2017</v>
      </c>
      <c r="E17" t="str">
        <f t="shared" si="60"/>
        <v>S1-2017</v>
      </c>
      <c r="F17" t="str">
        <f t="shared" si="61"/>
        <v>mars</v>
      </c>
      <c r="G17" t="str">
        <f t="shared" si="62"/>
        <v>march-2017</v>
      </c>
      <c r="H17" t="str">
        <f t="shared" si="6"/>
        <v>mar-17</v>
      </c>
      <c r="I17" s="2">
        <f t="shared" si="7"/>
        <v>201703</v>
      </c>
      <c r="J17" t="str">
        <f t="shared" si="63"/>
        <v>wednesday</v>
      </c>
      <c r="K17" t="str">
        <f t="shared" si="64"/>
        <v>3</v>
      </c>
      <c r="L17">
        <f t="shared" si="65"/>
        <v>11</v>
      </c>
      <c r="M17">
        <f t="shared" si="66"/>
        <v>11</v>
      </c>
      <c r="N17" s="1">
        <f t="shared" si="67"/>
        <v>42795</v>
      </c>
      <c r="O17" s="1">
        <f t="shared" si="68"/>
        <v>42825</v>
      </c>
      <c r="P17" s="1">
        <f t="shared" si="69"/>
        <v>42870</v>
      </c>
      <c r="Q17" s="1">
        <f t="shared" si="70"/>
        <v>42750</v>
      </c>
      <c r="R17" s="1">
        <f t="shared" si="52"/>
        <v>42814</v>
      </c>
      <c r="S17" s="1">
        <f t="shared" si="53"/>
        <v>42805</v>
      </c>
      <c r="T17" s="1">
        <f t="shared" si="54"/>
        <v>43174</v>
      </c>
      <c r="U17" s="1">
        <f t="shared" si="55"/>
        <v>42444</v>
      </c>
      <c r="V17" s="2">
        <f t="shared" si="56"/>
        <v>0</v>
      </c>
      <c r="W17">
        <f t="shared" si="21"/>
        <v>1</v>
      </c>
      <c r="X17">
        <f t="shared" si="22"/>
        <v>1</v>
      </c>
      <c r="Y17" s="1">
        <f t="shared" si="23"/>
        <v>42809</v>
      </c>
      <c r="Z17" s="1">
        <f t="shared" si="24"/>
        <v>42809</v>
      </c>
      <c r="AA17" s="1">
        <f t="shared" si="25"/>
        <v>42808</v>
      </c>
      <c r="AB17" s="1">
        <f t="shared" si="26"/>
        <v>42808</v>
      </c>
      <c r="AC17" s="1">
        <f t="shared" si="27"/>
        <v>42841</v>
      </c>
      <c r="AD17" s="1">
        <f t="shared" si="28"/>
        <v>42795</v>
      </c>
      <c r="AE17" s="1">
        <f t="shared" si="29"/>
        <v>42795</v>
      </c>
      <c r="AF17" s="1">
        <f t="shared" si="30"/>
        <v>42825</v>
      </c>
      <c r="AG17" s="1">
        <f t="shared" si="31"/>
        <v>42825</v>
      </c>
      <c r="AH17">
        <f t="shared" si="32"/>
        <v>23</v>
      </c>
      <c r="AI17">
        <f t="shared" si="33"/>
        <v>27</v>
      </c>
      <c r="AJ17">
        <f t="shared" si="34"/>
        <v>20170315</v>
      </c>
      <c r="AK17" s="1">
        <f t="shared" si="35"/>
        <v>42809</v>
      </c>
      <c r="AL17">
        <f t="shared" si="36"/>
        <v>31</v>
      </c>
      <c r="AM17" s="1">
        <v>31474</v>
      </c>
      <c r="AN17" s="14">
        <f t="shared" si="37"/>
        <v>31</v>
      </c>
    </row>
    <row r="18" spans="1:40" x14ac:dyDescent="0.25">
      <c r="A18" s="1">
        <v>42840</v>
      </c>
      <c r="B18" t="str">
        <f t="shared" si="57"/>
        <v>T2</v>
      </c>
      <c r="C18" t="str">
        <f t="shared" si="58"/>
        <v>S1</v>
      </c>
      <c r="D18" t="str">
        <f t="shared" si="59"/>
        <v>T2-2017</v>
      </c>
      <c r="E18" t="str">
        <f t="shared" si="60"/>
        <v>S1-2017</v>
      </c>
      <c r="F18" t="str">
        <f t="shared" si="61"/>
        <v>avril</v>
      </c>
      <c r="G18" t="str">
        <f t="shared" si="62"/>
        <v>april-2017</v>
      </c>
      <c r="H18" t="str">
        <f t="shared" si="6"/>
        <v>apr-17</v>
      </c>
      <c r="I18" s="2">
        <f t="shared" si="7"/>
        <v>201704</v>
      </c>
      <c r="J18" t="str">
        <f t="shared" si="63"/>
        <v>saturday</v>
      </c>
      <c r="K18" t="str">
        <f t="shared" si="64"/>
        <v>6</v>
      </c>
      <c r="L18">
        <f t="shared" si="65"/>
        <v>15</v>
      </c>
      <c r="M18">
        <f t="shared" si="66"/>
        <v>15</v>
      </c>
      <c r="N18" s="1">
        <f t="shared" si="67"/>
        <v>42826</v>
      </c>
      <c r="O18" s="1">
        <f t="shared" si="68"/>
        <v>42855</v>
      </c>
      <c r="P18" s="1">
        <f t="shared" si="69"/>
        <v>42901</v>
      </c>
      <c r="Q18" s="1">
        <f t="shared" si="70"/>
        <v>42781</v>
      </c>
      <c r="R18" s="1">
        <f t="shared" si="52"/>
        <v>42845</v>
      </c>
      <c r="S18" s="1">
        <f t="shared" si="53"/>
        <v>42836</v>
      </c>
      <c r="T18" s="1">
        <f t="shared" si="54"/>
        <v>43205</v>
      </c>
      <c r="U18" s="1">
        <f t="shared" si="55"/>
        <v>42475</v>
      </c>
      <c r="V18" s="2">
        <f t="shared" si="56"/>
        <v>0</v>
      </c>
      <c r="W18">
        <f t="shared" si="21"/>
        <v>0</v>
      </c>
      <c r="X18">
        <f t="shared" si="22"/>
        <v>1</v>
      </c>
      <c r="Y18" s="1">
        <f t="shared" si="23"/>
        <v>42843</v>
      </c>
      <c r="Z18" s="1">
        <f t="shared" si="24"/>
        <v>42840</v>
      </c>
      <c r="AA18" s="1">
        <f t="shared" si="25"/>
        <v>42839</v>
      </c>
      <c r="AB18" s="1">
        <f t="shared" si="26"/>
        <v>42839</v>
      </c>
      <c r="AC18" s="1">
        <f t="shared" si="27"/>
        <v>42841</v>
      </c>
      <c r="AD18" s="1">
        <f t="shared" si="28"/>
        <v>42828</v>
      </c>
      <c r="AE18" s="1">
        <f t="shared" si="29"/>
        <v>42826</v>
      </c>
      <c r="AF18" s="1">
        <f t="shared" si="30"/>
        <v>42854</v>
      </c>
      <c r="AG18" s="1">
        <f t="shared" si="31"/>
        <v>42854</v>
      </c>
      <c r="AH18">
        <f t="shared" si="32"/>
        <v>19</v>
      </c>
      <c r="AI18">
        <f t="shared" si="33"/>
        <v>24</v>
      </c>
      <c r="AJ18">
        <f t="shared" si="34"/>
        <v>20170415</v>
      </c>
      <c r="AK18" s="1">
        <f t="shared" si="35"/>
        <v>42840</v>
      </c>
      <c r="AL18">
        <f t="shared" si="36"/>
        <v>31</v>
      </c>
      <c r="AM18" s="1">
        <v>31475</v>
      </c>
      <c r="AN18" s="14">
        <f t="shared" si="37"/>
        <v>31</v>
      </c>
    </row>
    <row r="19" spans="1:40" x14ac:dyDescent="0.25">
      <c r="A19" s="1">
        <v>42841</v>
      </c>
      <c r="B19" t="str">
        <f t="shared" si="57"/>
        <v>T2</v>
      </c>
      <c r="C19" t="str">
        <f t="shared" ref="C19" si="141">SEMESTER(A19)</f>
        <v>S1</v>
      </c>
      <c r="D19" t="str">
        <f t="shared" ref="D19" si="142">QUARTERYEAR(A19,"FR")</f>
        <v>T2-2017</v>
      </c>
      <c r="E19" t="str">
        <f t="shared" ref="E19" si="143">SEMESTERYEAR(A19)</f>
        <v>S1-2017</v>
      </c>
      <c r="F19" t="str">
        <f t="shared" ref="F19" si="144">MONTHTEXT(A19,"FR")</f>
        <v>avril</v>
      </c>
      <c r="G19" t="str">
        <f t="shared" ref="G19" si="145">MONTHYEAR(A19,"EN")</f>
        <v>april-2017</v>
      </c>
      <c r="H19" t="str">
        <f t="shared" si="6"/>
        <v>apr-17</v>
      </c>
      <c r="I19" s="2">
        <f t="shared" si="7"/>
        <v>201704</v>
      </c>
      <c r="J19" t="str">
        <f t="shared" ref="J19" si="146">DayWeek(A19)</f>
        <v>sunday</v>
      </c>
      <c r="K19" t="str">
        <f t="shared" ref="K19" si="147">NumDayWeek(A19)</f>
        <v>7</v>
      </c>
      <c r="L19">
        <f t="shared" ref="L19" si="148">NumWeekYearEuro(A19)</f>
        <v>15</v>
      </c>
      <c r="M19">
        <f t="shared" ref="M19" si="149">NumWeekYearDefault(A19)</f>
        <v>16</v>
      </c>
      <c r="N19" s="1">
        <f t="shared" ref="N19" si="150">BeginMonth(A19)</f>
        <v>42826</v>
      </c>
      <c r="O19" s="1">
        <f t="shared" ref="O19" si="151">EndMonth(A19)</f>
        <v>42855</v>
      </c>
      <c r="P19" s="1">
        <f t="shared" ref="P19" si="152">AddMonth(A19,2)</f>
        <v>42902</v>
      </c>
      <c r="Q19" s="1">
        <f t="shared" ref="Q19" si="153">AddMonth(A19,-2)</f>
        <v>42782</v>
      </c>
      <c r="R19" s="1">
        <f t="shared" ref="R19" si="154">AddDay(A19,5)</f>
        <v>42846</v>
      </c>
      <c r="S19" s="1">
        <f t="shared" ref="S19" si="155">AddDay(A19,-4)</f>
        <v>42837</v>
      </c>
      <c r="T19" s="1">
        <f t="shared" ref="T19" si="156">AddYear(A19,1)</f>
        <v>43206</v>
      </c>
      <c r="U19" s="1">
        <f t="shared" ref="U19" si="157">AddYear(A19,-1)</f>
        <v>42476</v>
      </c>
      <c r="V19" s="2">
        <f t="shared" si="56"/>
        <v>1</v>
      </c>
      <c r="W19">
        <f t="shared" si="21"/>
        <v>0</v>
      </c>
      <c r="X19">
        <f t="shared" si="22"/>
        <v>0</v>
      </c>
      <c r="Y19" s="1">
        <f t="shared" si="23"/>
        <v>42843</v>
      </c>
      <c r="Z19" s="1">
        <f t="shared" si="24"/>
        <v>42843</v>
      </c>
      <c r="AA19" s="1">
        <f t="shared" si="25"/>
        <v>42840</v>
      </c>
      <c r="AB19" s="1">
        <f t="shared" si="26"/>
        <v>42840</v>
      </c>
      <c r="AC19" s="1">
        <f t="shared" si="27"/>
        <v>42842</v>
      </c>
      <c r="AD19" s="1">
        <f t="shared" si="28"/>
        <v>42828</v>
      </c>
      <c r="AE19" s="1">
        <f t="shared" si="29"/>
        <v>42826</v>
      </c>
      <c r="AF19" s="1">
        <f t="shared" si="30"/>
        <v>42854</v>
      </c>
      <c r="AG19" s="1">
        <f t="shared" si="31"/>
        <v>42854</v>
      </c>
      <c r="AH19">
        <f t="shared" si="32"/>
        <v>19</v>
      </c>
      <c r="AI19">
        <f t="shared" si="33"/>
        <v>24</v>
      </c>
      <c r="AJ19">
        <f t="shared" si="34"/>
        <v>20170416</v>
      </c>
      <c r="AK19" s="1">
        <f t="shared" si="35"/>
        <v>42841</v>
      </c>
      <c r="AL19">
        <f t="shared" si="36"/>
        <v>31</v>
      </c>
      <c r="AM19" s="1">
        <v>31476</v>
      </c>
      <c r="AN19" s="14">
        <f t="shared" si="37"/>
        <v>31</v>
      </c>
    </row>
    <row r="20" spans="1:40" s="7" customFormat="1" x14ac:dyDescent="0.25">
      <c r="A20" s="6">
        <v>42842</v>
      </c>
      <c r="B20" s="7" t="str">
        <f t="shared" si="57"/>
        <v>T2</v>
      </c>
      <c r="C20" s="7" t="str">
        <f t="shared" ref="C20" si="158">SEMESTER(A20)</f>
        <v>S1</v>
      </c>
      <c r="D20" s="7" t="str">
        <f t="shared" ref="D20" si="159">QUARTERYEAR(A20,"FR")</f>
        <v>T2-2017</v>
      </c>
      <c r="E20" s="7" t="str">
        <f t="shared" ref="E20" si="160">SEMESTERYEAR(A20)</f>
        <v>S1-2017</v>
      </c>
      <c r="F20" s="7" t="str">
        <f t="shared" ref="F20" si="161">MONTHTEXT(A20,"FR")</f>
        <v>avril</v>
      </c>
      <c r="G20" s="7" t="str">
        <f t="shared" ref="G20" si="162">MONTHYEAR(A20,"EN")</f>
        <v>april-2017</v>
      </c>
      <c r="H20" t="str">
        <f t="shared" si="6"/>
        <v>apr-17</v>
      </c>
      <c r="I20" s="2">
        <f t="shared" si="7"/>
        <v>201704</v>
      </c>
      <c r="J20" s="7" t="str">
        <f t="shared" ref="J20" si="163">DayWeek(A20)</f>
        <v>monday</v>
      </c>
      <c r="K20" s="7" t="str">
        <f t="shared" ref="K20" si="164">NumDayWeek(A20)</f>
        <v>1</v>
      </c>
      <c r="L20" s="7">
        <f t="shared" ref="L20" si="165">NumWeekYearEuro(A20)</f>
        <v>16</v>
      </c>
      <c r="M20" s="7">
        <f t="shared" ref="M20" si="166">NumWeekYearDefault(A20)</f>
        <v>16</v>
      </c>
      <c r="N20" s="6">
        <f t="shared" ref="N20" si="167">BeginMonth(A20)</f>
        <v>42826</v>
      </c>
      <c r="O20" s="6">
        <f t="shared" ref="O20" si="168">EndMonth(A20)</f>
        <v>42855</v>
      </c>
      <c r="P20" s="6">
        <f t="shared" ref="P20" si="169">AddMonth(A20,2)</f>
        <v>42903</v>
      </c>
      <c r="Q20" s="6">
        <f t="shared" ref="Q20" si="170">AddMonth(A20,-2)</f>
        <v>42783</v>
      </c>
      <c r="R20" s="6">
        <f t="shared" ref="R20" si="171">AddDay(A20,5)</f>
        <v>42847</v>
      </c>
      <c r="S20" s="6">
        <f t="shared" ref="S20" si="172">AddDay(A20,-4)</f>
        <v>42838</v>
      </c>
      <c r="T20" s="6">
        <f t="shared" ref="T20" si="173">AddYear(A20,1)</f>
        <v>43207</v>
      </c>
      <c r="U20" s="6">
        <f t="shared" ref="U20" si="174">AddYear(A20,-1)</f>
        <v>42477</v>
      </c>
      <c r="V20" s="8">
        <f t="shared" si="56"/>
        <v>1</v>
      </c>
      <c r="W20" s="7">
        <f t="shared" si="21"/>
        <v>0</v>
      </c>
      <c r="X20" s="7">
        <f t="shared" si="22"/>
        <v>0</v>
      </c>
      <c r="Y20" s="6">
        <f t="shared" si="23"/>
        <v>42843</v>
      </c>
      <c r="Z20" s="6">
        <f t="shared" si="24"/>
        <v>42843</v>
      </c>
      <c r="AA20" s="6">
        <f t="shared" si="25"/>
        <v>42840</v>
      </c>
      <c r="AB20" s="6">
        <f t="shared" si="26"/>
        <v>42840</v>
      </c>
      <c r="AC20" s="6">
        <f t="shared" si="27"/>
        <v>42856</v>
      </c>
      <c r="AD20" s="6">
        <f t="shared" si="28"/>
        <v>42828</v>
      </c>
      <c r="AE20" s="6">
        <f t="shared" si="29"/>
        <v>42826</v>
      </c>
      <c r="AF20" s="6">
        <f t="shared" si="30"/>
        <v>42854</v>
      </c>
      <c r="AG20" s="6">
        <f t="shared" si="31"/>
        <v>42854</v>
      </c>
      <c r="AH20" s="7">
        <f t="shared" si="32"/>
        <v>19</v>
      </c>
      <c r="AI20" s="7">
        <f t="shared" si="33"/>
        <v>24</v>
      </c>
      <c r="AJ20">
        <f t="shared" si="34"/>
        <v>20170417</v>
      </c>
      <c r="AK20" s="1">
        <f t="shared" si="35"/>
        <v>42842</v>
      </c>
      <c r="AL20">
        <f t="shared" si="36"/>
        <v>31</v>
      </c>
      <c r="AM20" s="1">
        <v>31477</v>
      </c>
      <c r="AN20" s="14">
        <f t="shared" si="37"/>
        <v>31</v>
      </c>
    </row>
    <row r="21" spans="1:40" s="7" customFormat="1" x14ac:dyDescent="0.25">
      <c r="A21" s="6">
        <v>42843</v>
      </c>
      <c r="B21" s="7" t="str">
        <f t="shared" si="57"/>
        <v>T2</v>
      </c>
      <c r="C21" s="7" t="str">
        <f t="shared" ref="C21" si="175">SEMESTER(A21)</f>
        <v>S1</v>
      </c>
      <c r="D21" s="7" t="str">
        <f t="shared" ref="D21" si="176">QUARTERYEAR(A21,"FR")</f>
        <v>T2-2017</v>
      </c>
      <c r="E21" s="7" t="str">
        <f t="shared" ref="E21" si="177">SEMESTERYEAR(A21)</f>
        <v>S1-2017</v>
      </c>
      <c r="F21" s="7" t="str">
        <f t="shared" ref="F21" si="178">MONTHTEXT(A21,"FR")</f>
        <v>avril</v>
      </c>
      <c r="G21" s="7" t="str">
        <f t="shared" ref="G21" si="179">MONTHYEAR(A21,"EN")</f>
        <v>april-2017</v>
      </c>
      <c r="H21" t="str">
        <f t="shared" si="6"/>
        <v>apr-17</v>
      </c>
      <c r="I21" s="2">
        <f t="shared" si="7"/>
        <v>201704</v>
      </c>
      <c r="J21" s="7" t="str">
        <f t="shared" ref="J21" si="180">DayWeek(A21)</f>
        <v>tuesday</v>
      </c>
      <c r="K21" s="7" t="str">
        <f t="shared" ref="K21" si="181">NumDayWeek(A21)</f>
        <v>2</v>
      </c>
      <c r="L21" s="7">
        <f t="shared" ref="L21" si="182">NumWeekYearEuro(A21)</f>
        <v>16</v>
      </c>
      <c r="M21" s="7">
        <f t="shared" ref="M21" si="183">NumWeekYearDefault(A21)</f>
        <v>16</v>
      </c>
      <c r="N21" s="6">
        <f t="shared" ref="N21" si="184">BeginMonth(A21)</f>
        <v>42826</v>
      </c>
      <c r="O21" s="6">
        <f t="shared" ref="O21" si="185">EndMonth(A21)</f>
        <v>42855</v>
      </c>
      <c r="P21" s="6">
        <f t="shared" ref="P21" si="186">AddMonth(A21,2)</f>
        <v>42904</v>
      </c>
      <c r="Q21" s="6">
        <f t="shared" ref="Q21" si="187">AddMonth(A21,-2)</f>
        <v>42784</v>
      </c>
      <c r="R21" s="6">
        <f t="shared" ref="R21" si="188">AddDay(A21,5)</f>
        <v>42848</v>
      </c>
      <c r="S21" s="6">
        <f t="shared" ref="S21" si="189">AddDay(A21,-4)</f>
        <v>42839</v>
      </c>
      <c r="T21" s="6">
        <f t="shared" ref="T21" si="190">AddYear(A21,1)</f>
        <v>43208</v>
      </c>
      <c r="U21" s="6">
        <f t="shared" ref="U21" si="191">AddYear(A21,-1)</f>
        <v>42478</v>
      </c>
      <c r="V21" s="8">
        <f t="shared" si="56"/>
        <v>0</v>
      </c>
      <c r="W21" s="7">
        <f t="shared" si="21"/>
        <v>1</v>
      </c>
      <c r="X21" s="7">
        <f t="shared" si="22"/>
        <v>1</v>
      </c>
      <c r="Y21" s="6">
        <f t="shared" si="23"/>
        <v>42843</v>
      </c>
      <c r="Z21" s="6">
        <f t="shared" si="24"/>
        <v>42843</v>
      </c>
      <c r="AA21" s="6">
        <f t="shared" si="25"/>
        <v>42840</v>
      </c>
      <c r="AB21" s="6">
        <f t="shared" si="26"/>
        <v>42840</v>
      </c>
      <c r="AC21" s="6">
        <f t="shared" si="27"/>
        <v>42856</v>
      </c>
      <c r="AD21" s="6">
        <f t="shared" si="28"/>
        <v>42828</v>
      </c>
      <c r="AE21" s="6">
        <f t="shared" si="29"/>
        <v>42826</v>
      </c>
      <c r="AF21" s="6">
        <f t="shared" si="30"/>
        <v>42854</v>
      </c>
      <c r="AG21" s="6">
        <f t="shared" si="31"/>
        <v>42854</v>
      </c>
      <c r="AH21" s="7">
        <f t="shared" si="32"/>
        <v>19</v>
      </c>
      <c r="AI21" s="7">
        <f t="shared" si="33"/>
        <v>24</v>
      </c>
      <c r="AJ21">
        <f t="shared" si="34"/>
        <v>20170418</v>
      </c>
      <c r="AK21" s="1">
        <f t="shared" si="35"/>
        <v>42843</v>
      </c>
      <c r="AL21">
        <f t="shared" si="36"/>
        <v>31</v>
      </c>
      <c r="AM21" s="1">
        <v>31478</v>
      </c>
      <c r="AN21" s="14">
        <f t="shared" si="37"/>
        <v>31</v>
      </c>
    </row>
    <row r="22" spans="1:40" x14ac:dyDescent="0.25">
      <c r="A22" s="1">
        <v>42962</v>
      </c>
      <c r="B22" t="str">
        <f t="shared" si="57"/>
        <v>T3</v>
      </c>
      <c r="C22" t="str">
        <f t="shared" si="58"/>
        <v>S2</v>
      </c>
      <c r="D22" t="str">
        <f t="shared" si="59"/>
        <v>T3-2017</v>
      </c>
      <c r="E22" t="str">
        <f t="shared" si="60"/>
        <v>S2-2017</v>
      </c>
      <c r="F22" t="str">
        <f t="shared" si="61"/>
        <v>aout</v>
      </c>
      <c r="G22" t="str">
        <f t="shared" si="62"/>
        <v>august-2017</v>
      </c>
      <c r="H22" t="str">
        <f t="shared" si="6"/>
        <v>aug-17</v>
      </c>
      <c r="I22" s="2">
        <f t="shared" si="7"/>
        <v>201708</v>
      </c>
      <c r="J22" t="str">
        <f t="shared" si="63"/>
        <v>tuesday</v>
      </c>
      <c r="K22" t="str">
        <f t="shared" si="64"/>
        <v>2</v>
      </c>
      <c r="L22">
        <f t="shared" si="65"/>
        <v>33</v>
      </c>
      <c r="M22">
        <f t="shared" si="66"/>
        <v>33</v>
      </c>
      <c r="N22" s="1">
        <f t="shared" si="67"/>
        <v>42948</v>
      </c>
      <c r="O22" s="1">
        <f t="shared" si="68"/>
        <v>42978</v>
      </c>
      <c r="P22" s="1">
        <f t="shared" si="69"/>
        <v>43023</v>
      </c>
      <c r="Q22" s="1">
        <f t="shared" si="70"/>
        <v>42901</v>
      </c>
      <c r="R22" s="1">
        <f t="shared" si="52"/>
        <v>42967</v>
      </c>
      <c r="S22" s="1">
        <f t="shared" si="53"/>
        <v>42958</v>
      </c>
      <c r="T22" s="1">
        <f t="shared" si="54"/>
        <v>43327</v>
      </c>
      <c r="U22" s="1">
        <f t="shared" si="55"/>
        <v>42597</v>
      </c>
      <c r="V22" s="2">
        <f t="shared" si="56"/>
        <v>1</v>
      </c>
      <c r="W22">
        <f t="shared" si="21"/>
        <v>0</v>
      </c>
      <c r="X22">
        <f t="shared" si="22"/>
        <v>0</v>
      </c>
      <c r="Y22" s="1">
        <f t="shared" si="23"/>
        <v>42963</v>
      </c>
      <c r="Z22" s="1">
        <f t="shared" si="24"/>
        <v>42963</v>
      </c>
      <c r="AA22" s="1">
        <f t="shared" si="25"/>
        <v>42961</v>
      </c>
      <c r="AB22" s="1">
        <f t="shared" si="26"/>
        <v>42961</v>
      </c>
      <c r="AC22" s="1">
        <f t="shared" si="27"/>
        <v>43040</v>
      </c>
      <c r="AD22" s="1">
        <f t="shared" si="28"/>
        <v>42948</v>
      </c>
      <c r="AE22" s="1">
        <f t="shared" si="29"/>
        <v>42948</v>
      </c>
      <c r="AF22" s="1">
        <f t="shared" si="30"/>
        <v>42978</v>
      </c>
      <c r="AG22" s="1">
        <f t="shared" si="31"/>
        <v>42978</v>
      </c>
      <c r="AH22">
        <f t="shared" si="32"/>
        <v>22</v>
      </c>
      <c r="AI22">
        <f t="shared" si="33"/>
        <v>26</v>
      </c>
      <c r="AJ22">
        <f t="shared" si="34"/>
        <v>20170815</v>
      </c>
      <c r="AK22" s="1">
        <f t="shared" si="35"/>
        <v>42962</v>
      </c>
      <c r="AL22">
        <f t="shared" si="36"/>
        <v>31</v>
      </c>
      <c r="AM22" s="1">
        <v>31479</v>
      </c>
      <c r="AN22" s="14">
        <f t="shared" si="37"/>
        <v>31</v>
      </c>
    </row>
    <row r="23" spans="1:40" x14ac:dyDescent="0.25">
      <c r="A23" s="1">
        <v>42993</v>
      </c>
      <c r="B23" t="str">
        <f t="shared" si="57"/>
        <v>T3</v>
      </c>
      <c r="C23" t="str">
        <f t="shared" si="58"/>
        <v>S2</v>
      </c>
      <c r="D23" t="str">
        <f t="shared" si="59"/>
        <v>T3-2017</v>
      </c>
      <c r="E23" t="str">
        <f t="shared" si="60"/>
        <v>S2-2017</v>
      </c>
      <c r="F23" t="str">
        <f t="shared" si="61"/>
        <v>septembre</v>
      </c>
      <c r="G23" t="str">
        <f t="shared" si="62"/>
        <v>september-2017</v>
      </c>
      <c r="H23" t="str">
        <f t="shared" si="6"/>
        <v>sept-17</v>
      </c>
      <c r="I23" s="2">
        <f t="shared" si="7"/>
        <v>201709</v>
      </c>
      <c r="J23" t="str">
        <f t="shared" si="63"/>
        <v>friday</v>
      </c>
      <c r="K23" t="str">
        <f t="shared" si="64"/>
        <v>5</v>
      </c>
      <c r="L23">
        <f t="shared" si="65"/>
        <v>37</v>
      </c>
      <c r="M23">
        <f t="shared" si="66"/>
        <v>37</v>
      </c>
      <c r="N23" s="1">
        <f t="shared" si="67"/>
        <v>42979</v>
      </c>
      <c r="O23" s="1">
        <f t="shared" si="68"/>
        <v>43008</v>
      </c>
      <c r="P23" s="1">
        <f t="shared" si="69"/>
        <v>43054</v>
      </c>
      <c r="Q23" s="1">
        <f t="shared" si="70"/>
        <v>42931</v>
      </c>
      <c r="R23" s="1">
        <f t="shared" si="52"/>
        <v>42998</v>
      </c>
      <c r="S23" s="1">
        <f t="shared" si="53"/>
        <v>42989</v>
      </c>
      <c r="T23" s="1">
        <f t="shared" si="54"/>
        <v>43358</v>
      </c>
      <c r="U23" s="1">
        <f t="shared" si="55"/>
        <v>42628</v>
      </c>
      <c r="V23" s="2">
        <f t="shared" si="56"/>
        <v>0</v>
      </c>
      <c r="W23">
        <f t="shared" si="21"/>
        <v>1</v>
      </c>
      <c r="X23">
        <f t="shared" si="22"/>
        <v>1</v>
      </c>
      <c r="Y23" s="1">
        <f t="shared" si="23"/>
        <v>42993</v>
      </c>
      <c r="Z23" s="1">
        <f t="shared" si="24"/>
        <v>42993</v>
      </c>
      <c r="AA23" s="1">
        <f t="shared" si="25"/>
        <v>42992</v>
      </c>
      <c r="AB23" s="1">
        <f t="shared" si="26"/>
        <v>42992</v>
      </c>
      <c r="AC23" s="1">
        <f t="shared" si="27"/>
        <v>43040</v>
      </c>
      <c r="AD23" s="1">
        <f t="shared" si="28"/>
        <v>42979</v>
      </c>
      <c r="AE23" s="1">
        <f t="shared" si="29"/>
        <v>42979</v>
      </c>
      <c r="AF23" s="1">
        <f t="shared" si="30"/>
        <v>43007</v>
      </c>
      <c r="AG23" s="1">
        <f t="shared" si="31"/>
        <v>43008</v>
      </c>
      <c r="AH23">
        <f t="shared" si="32"/>
        <v>21</v>
      </c>
      <c r="AI23">
        <f t="shared" si="33"/>
        <v>26</v>
      </c>
      <c r="AJ23">
        <f t="shared" si="34"/>
        <v>20170915</v>
      </c>
      <c r="AK23" s="1">
        <f t="shared" si="35"/>
        <v>42993</v>
      </c>
      <c r="AL23">
        <f t="shared" si="36"/>
        <v>31</v>
      </c>
      <c r="AM23" s="1">
        <v>31480</v>
      </c>
      <c r="AN23" s="14">
        <f t="shared" si="37"/>
        <v>31</v>
      </c>
    </row>
    <row r="24" spans="1:40" x14ac:dyDescent="0.25">
      <c r="A24" s="1">
        <v>43084</v>
      </c>
      <c r="B24" t="str">
        <f t="shared" si="57"/>
        <v>T4</v>
      </c>
      <c r="C24" t="str">
        <f t="shared" si="58"/>
        <v>S2</v>
      </c>
      <c r="D24" t="str">
        <f t="shared" si="59"/>
        <v>T4-2017</v>
      </c>
      <c r="E24" t="str">
        <f t="shared" si="60"/>
        <v>S2-2017</v>
      </c>
      <c r="F24" t="str">
        <f t="shared" si="61"/>
        <v>décembre</v>
      </c>
      <c r="G24" t="str">
        <f t="shared" si="62"/>
        <v>december-2017</v>
      </c>
      <c r="H24" t="str">
        <f t="shared" si="6"/>
        <v>dec-17</v>
      </c>
      <c r="I24" s="2">
        <f t="shared" si="7"/>
        <v>201712</v>
      </c>
      <c r="J24" t="str">
        <f t="shared" si="63"/>
        <v>friday</v>
      </c>
      <c r="K24" t="str">
        <f t="shared" si="64"/>
        <v>5</v>
      </c>
      <c r="L24">
        <f t="shared" si="65"/>
        <v>50</v>
      </c>
      <c r="M24">
        <f t="shared" si="66"/>
        <v>50</v>
      </c>
      <c r="N24" s="1">
        <f t="shared" si="67"/>
        <v>43070</v>
      </c>
      <c r="O24" s="1">
        <f t="shared" si="68"/>
        <v>43100</v>
      </c>
      <c r="P24" s="1">
        <f t="shared" si="69"/>
        <v>43146</v>
      </c>
      <c r="Q24" s="1">
        <f t="shared" si="70"/>
        <v>43023</v>
      </c>
      <c r="R24" s="1">
        <f t="shared" si="52"/>
        <v>43089</v>
      </c>
      <c r="S24" s="1">
        <f t="shared" si="53"/>
        <v>43080</v>
      </c>
      <c r="T24" s="1">
        <f t="shared" si="54"/>
        <v>43449</v>
      </c>
      <c r="U24" s="1">
        <f t="shared" si="55"/>
        <v>42719</v>
      </c>
      <c r="V24" s="2">
        <f t="shared" si="56"/>
        <v>0</v>
      </c>
      <c r="W24">
        <f t="shared" si="21"/>
        <v>1</v>
      </c>
      <c r="X24">
        <f t="shared" si="22"/>
        <v>1</v>
      </c>
      <c r="Y24" s="1">
        <f t="shared" si="23"/>
        <v>43084</v>
      </c>
      <c r="Z24" s="1">
        <f t="shared" si="24"/>
        <v>43084</v>
      </c>
      <c r="AA24" s="1">
        <f t="shared" si="25"/>
        <v>43083</v>
      </c>
      <c r="AB24" s="1">
        <f t="shared" si="26"/>
        <v>43083</v>
      </c>
      <c r="AC24" s="1">
        <f t="shared" si="27"/>
        <v>43094</v>
      </c>
      <c r="AD24" s="1">
        <f t="shared" si="28"/>
        <v>43070</v>
      </c>
      <c r="AE24" s="1">
        <f t="shared" si="29"/>
        <v>43070</v>
      </c>
      <c r="AF24" s="1">
        <f t="shared" si="30"/>
        <v>43099</v>
      </c>
      <c r="AG24" s="1">
        <f t="shared" si="31"/>
        <v>43099</v>
      </c>
      <c r="AH24">
        <f t="shared" si="32"/>
        <v>20</v>
      </c>
      <c r="AI24">
        <f t="shared" si="33"/>
        <v>25</v>
      </c>
      <c r="AJ24">
        <f t="shared" si="34"/>
        <v>20171215</v>
      </c>
      <c r="AK24" s="1">
        <f t="shared" si="35"/>
        <v>43084</v>
      </c>
      <c r="AL24">
        <f t="shared" si="36"/>
        <v>31</v>
      </c>
      <c r="AM24" s="1">
        <v>31481</v>
      </c>
      <c r="AN24" s="14">
        <f t="shared" si="37"/>
        <v>31</v>
      </c>
    </row>
    <row r="25" spans="1:40" x14ac:dyDescent="0.25">
      <c r="A25" s="1">
        <v>42685</v>
      </c>
      <c r="B25" t="str">
        <f t="shared" si="57"/>
        <v>T4</v>
      </c>
      <c r="C25" t="str">
        <f t="shared" ref="C25" si="192">SEMESTER(A25)</f>
        <v>S2</v>
      </c>
      <c r="D25" t="str">
        <f t="shared" ref="D25" si="193">QUARTERYEAR(A25,"FR")</f>
        <v>T4-2016</v>
      </c>
      <c r="E25" t="str">
        <f t="shared" ref="E25" si="194">SEMESTERYEAR(A25)</f>
        <v>S2-2016</v>
      </c>
      <c r="F25" t="str">
        <f t="shared" ref="F25" si="195">MONTHTEXT(A25,"FR")</f>
        <v>novembre</v>
      </c>
      <c r="G25" t="str">
        <f t="shared" ref="G25" si="196">MONTHYEAR(A25,"EN")</f>
        <v>november-2016</v>
      </c>
      <c r="H25" t="str">
        <f t="shared" si="6"/>
        <v>nov-16</v>
      </c>
      <c r="I25" s="2">
        <f t="shared" si="7"/>
        <v>201611</v>
      </c>
      <c r="J25" t="str">
        <f t="shared" ref="J25" si="197">DayWeek(A25)</f>
        <v>friday</v>
      </c>
      <c r="K25" t="str">
        <f t="shared" ref="K25" si="198">NumDayWeek(A25)</f>
        <v>5</v>
      </c>
      <c r="L25">
        <f t="shared" ref="L25" si="199">NumWeekYearEuro(A25)</f>
        <v>45</v>
      </c>
      <c r="M25">
        <f t="shared" ref="M25" si="200">NumWeekYearDefault(A25)</f>
        <v>46</v>
      </c>
      <c r="N25" s="1">
        <f t="shared" ref="N25" si="201">BeginMonth(A25)</f>
        <v>42675</v>
      </c>
      <c r="O25" s="1">
        <f t="shared" ref="O25" si="202">EndMonth(A25)</f>
        <v>42704</v>
      </c>
      <c r="P25" s="1">
        <f t="shared" ref="P25" si="203">AddMonth(A25,2)</f>
        <v>42746</v>
      </c>
      <c r="Q25" s="1">
        <f t="shared" ref="Q25" si="204">AddMonth(A25,-2)</f>
        <v>42624</v>
      </c>
      <c r="R25" s="1">
        <f t="shared" ref="R25" si="205">AddDay(A25,5)</f>
        <v>42690</v>
      </c>
      <c r="S25" s="1">
        <f t="shared" ref="S25" si="206">AddDay(A25,-4)</f>
        <v>42681</v>
      </c>
      <c r="T25" s="1">
        <f t="shared" ref="T25" si="207">AddYear(A25,1)</f>
        <v>43050</v>
      </c>
      <c r="U25" s="1">
        <f t="shared" ref="U25" si="208">AddYear(A25,-1)</f>
        <v>42319</v>
      </c>
      <c r="V25" s="2">
        <f t="shared" ref="V25" si="209">PublicHolidayFr(A25)</f>
        <v>1</v>
      </c>
      <c r="W25">
        <f t="shared" si="21"/>
        <v>0</v>
      </c>
      <c r="X25">
        <f t="shared" si="22"/>
        <v>0</v>
      </c>
      <c r="Y25" s="1">
        <f t="shared" si="23"/>
        <v>42688</v>
      </c>
      <c r="Z25" s="1">
        <f t="shared" si="24"/>
        <v>42686</v>
      </c>
      <c r="AA25" s="1">
        <f t="shared" si="25"/>
        <v>42684</v>
      </c>
      <c r="AB25" s="1">
        <f t="shared" si="26"/>
        <v>42684</v>
      </c>
      <c r="AC25" s="1">
        <f t="shared" si="27"/>
        <v>42729</v>
      </c>
      <c r="AD25" s="1">
        <f t="shared" si="28"/>
        <v>42676</v>
      </c>
      <c r="AE25" s="1">
        <f t="shared" si="29"/>
        <v>42676</v>
      </c>
      <c r="AF25" s="1">
        <f t="shared" si="30"/>
        <v>42704</v>
      </c>
      <c r="AG25" s="1">
        <f t="shared" si="31"/>
        <v>42704</v>
      </c>
      <c r="AH25">
        <f t="shared" si="32"/>
        <v>20</v>
      </c>
      <c r="AI25">
        <f t="shared" si="33"/>
        <v>24</v>
      </c>
      <c r="AJ25">
        <f t="shared" si="34"/>
        <v>20161111</v>
      </c>
      <c r="AK25" s="1">
        <f t="shared" si="35"/>
        <v>42685</v>
      </c>
      <c r="AL25">
        <f t="shared" si="36"/>
        <v>31</v>
      </c>
      <c r="AM25" s="1">
        <v>31482</v>
      </c>
      <c r="AN25" s="14">
        <f t="shared" si="37"/>
        <v>30</v>
      </c>
    </row>
    <row r="26" spans="1:40" x14ac:dyDescent="0.25">
      <c r="A26" s="1">
        <v>42689</v>
      </c>
      <c r="B26" t="str">
        <f t="shared" si="57"/>
        <v>T4</v>
      </c>
      <c r="C26" t="str">
        <f t="shared" si="58"/>
        <v>S2</v>
      </c>
      <c r="D26" t="str">
        <f t="shared" si="59"/>
        <v>T4-2016</v>
      </c>
      <c r="E26" t="str">
        <f t="shared" si="60"/>
        <v>S2-2016</v>
      </c>
      <c r="F26" t="str">
        <f t="shared" si="61"/>
        <v>novembre</v>
      </c>
      <c r="G26" t="str">
        <f t="shared" si="62"/>
        <v>november-2016</v>
      </c>
      <c r="H26" t="str">
        <f t="shared" si="6"/>
        <v>nov-16</v>
      </c>
      <c r="I26" s="2">
        <f t="shared" si="7"/>
        <v>201611</v>
      </c>
      <c r="J26" t="str">
        <f t="shared" si="63"/>
        <v>tuesday</v>
      </c>
      <c r="K26" t="str">
        <f t="shared" si="64"/>
        <v>2</v>
      </c>
      <c r="L26">
        <f t="shared" si="65"/>
        <v>46</v>
      </c>
      <c r="M26">
        <f t="shared" si="66"/>
        <v>47</v>
      </c>
      <c r="N26" s="1">
        <f t="shared" si="67"/>
        <v>42675</v>
      </c>
      <c r="O26" s="1">
        <f t="shared" si="68"/>
        <v>42704</v>
      </c>
      <c r="P26" s="1">
        <f t="shared" si="69"/>
        <v>42750</v>
      </c>
      <c r="Q26" s="1">
        <f t="shared" si="70"/>
        <v>42628</v>
      </c>
      <c r="R26" s="1">
        <f t="shared" si="52"/>
        <v>42694</v>
      </c>
      <c r="S26" s="1">
        <f t="shared" si="53"/>
        <v>42685</v>
      </c>
      <c r="T26" s="1">
        <f t="shared" si="54"/>
        <v>43054</v>
      </c>
      <c r="U26" s="1">
        <f t="shared" si="55"/>
        <v>42323</v>
      </c>
      <c r="V26" s="2">
        <f t="shared" si="56"/>
        <v>0</v>
      </c>
      <c r="W26">
        <f t="shared" si="21"/>
        <v>1</v>
      </c>
      <c r="X26">
        <f t="shared" si="22"/>
        <v>1</v>
      </c>
      <c r="Y26" s="1">
        <f t="shared" si="23"/>
        <v>42689</v>
      </c>
      <c r="Z26" s="1">
        <f t="shared" si="24"/>
        <v>42689</v>
      </c>
      <c r="AA26" s="1">
        <f t="shared" si="25"/>
        <v>42688</v>
      </c>
      <c r="AB26" s="1">
        <f t="shared" si="26"/>
        <v>42688</v>
      </c>
      <c r="AC26" s="1">
        <f t="shared" si="27"/>
        <v>42729</v>
      </c>
      <c r="AD26" s="1">
        <f t="shared" si="28"/>
        <v>42676</v>
      </c>
      <c r="AE26" s="1">
        <f t="shared" si="29"/>
        <v>42676</v>
      </c>
      <c r="AF26" s="1">
        <f t="shared" si="30"/>
        <v>42704</v>
      </c>
      <c r="AG26" s="1">
        <f t="shared" si="31"/>
        <v>42704</v>
      </c>
      <c r="AH26">
        <f t="shared" si="32"/>
        <v>20</v>
      </c>
      <c r="AI26">
        <f t="shared" si="33"/>
        <v>24</v>
      </c>
      <c r="AJ26">
        <f t="shared" si="34"/>
        <v>20161115</v>
      </c>
      <c r="AK26" s="1">
        <f t="shared" si="35"/>
        <v>42689</v>
      </c>
      <c r="AL26">
        <f t="shared" si="36"/>
        <v>31</v>
      </c>
      <c r="AM26" s="1">
        <v>31483</v>
      </c>
      <c r="AN26" s="14">
        <f t="shared" si="37"/>
        <v>30</v>
      </c>
    </row>
    <row r="27" spans="1:40" x14ac:dyDescent="0.25">
      <c r="A27" s="1">
        <f ca="1">TODAY()</f>
        <v>42843</v>
      </c>
      <c r="B27" t="str">
        <f t="shared" ca="1" si="57"/>
        <v>T2</v>
      </c>
      <c r="C27" t="str">
        <f t="shared" ca="1" si="58"/>
        <v>S1</v>
      </c>
      <c r="D27" t="str">
        <f t="shared" ca="1" si="59"/>
        <v>T2-2017</v>
      </c>
      <c r="E27" t="str">
        <f t="shared" ca="1" si="60"/>
        <v>S1-2017</v>
      </c>
      <c r="F27" t="str">
        <f t="shared" ca="1" si="61"/>
        <v>avril</v>
      </c>
      <c r="G27" t="str">
        <f t="shared" ca="1" si="62"/>
        <v>april-2017</v>
      </c>
      <c r="H27" t="str">
        <f t="shared" ca="1" si="6"/>
        <v>apr-17</v>
      </c>
      <c r="I27" s="2">
        <f t="shared" ca="1" si="7"/>
        <v>201704</v>
      </c>
      <c r="J27" t="str">
        <f t="shared" ca="1" si="63"/>
        <v>tuesday</v>
      </c>
      <c r="K27" t="str">
        <f t="shared" ca="1" si="64"/>
        <v>2</v>
      </c>
      <c r="L27">
        <f t="shared" ca="1" si="65"/>
        <v>16</v>
      </c>
      <c r="M27">
        <f t="shared" ca="1" si="66"/>
        <v>16</v>
      </c>
      <c r="N27" s="1">
        <f t="shared" ca="1" si="67"/>
        <v>42826</v>
      </c>
      <c r="O27" s="1">
        <f t="shared" ca="1" si="68"/>
        <v>42855</v>
      </c>
      <c r="P27" s="1">
        <f t="shared" ca="1" si="69"/>
        <v>42904</v>
      </c>
      <c r="Q27" s="1">
        <f t="shared" ca="1" si="70"/>
        <v>42784</v>
      </c>
      <c r="R27" s="1">
        <f t="shared" ca="1" si="52"/>
        <v>42848</v>
      </c>
      <c r="S27" s="1">
        <f t="shared" ca="1" si="53"/>
        <v>42839</v>
      </c>
      <c r="T27" s="1">
        <f t="shared" ca="1" si="54"/>
        <v>43208</v>
      </c>
      <c r="U27" s="1">
        <f t="shared" ca="1" si="55"/>
        <v>42478</v>
      </c>
      <c r="V27" s="2">
        <f t="shared" ca="1" si="56"/>
        <v>0</v>
      </c>
      <c r="W27">
        <f t="shared" ca="1" si="21"/>
        <v>1</v>
      </c>
      <c r="X27">
        <f t="shared" ca="1" si="22"/>
        <v>1</v>
      </c>
      <c r="Y27" s="1">
        <f t="shared" ca="1" si="23"/>
        <v>42843</v>
      </c>
      <c r="Z27" s="1">
        <f t="shared" ca="1" si="24"/>
        <v>42843</v>
      </c>
      <c r="AA27" s="1">
        <f t="shared" ca="1" si="25"/>
        <v>42840</v>
      </c>
      <c r="AB27" s="1">
        <f t="shared" ca="1" si="26"/>
        <v>42840</v>
      </c>
      <c r="AC27" s="1">
        <f t="shared" ca="1" si="27"/>
        <v>42856</v>
      </c>
      <c r="AD27" s="1">
        <f t="shared" ca="1" si="28"/>
        <v>42828</v>
      </c>
      <c r="AE27" s="1">
        <f t="shared" ca="1" si="29"/>
        <v>42826</v>
      </c>
      <c r="AF27" s="1">
        <f t="shared" ca="1" si="30"/>
        <v>42854</v>
      </c>
      <c r="AG27" s="1">
        <f t="shared" ca="1" si="31"/>
        <v>42854</v>
      </c>
      <c r="AH27">
        <f t="shared" ca="1" si="32"/>
        <v>19</v>
      </c>
      <c r="AI27">
        <f t="shared" ca="1" si="33"/>
        <v>24</v>
      </c>
      <c r="AJ27">
        <f t="shared" ca="1" si="34"/>
        <v>20170418</v>
      </c>
      <c r="AK27" s="1">
        <f t="shared" ca="1" si="35"/>
        <v>42843</v>
      </c>
      <c r="AL27">
        <f t="shared" si="36"/>
        <v>31</v>
      </c>
      <c r="AM27" s="1">
        <v>31484</v>
      </c>
      <c r="AN27" s="14">
        <f t="shared" ca="1" si="37"/>
        <v>31</v>
      </c>
    </row>
    <row r="28" spans="1:40" x14ac:dyDescent="0.25">
      <c r="A28" s="1">
        <v>42736</v>
      </c>
      <c r="B28" t="str">
        <f t="shared" si="57"/>
        <v>T1</v>
      </c>
      <c r="C28" t="str">
        <f t="shared" si="58"/>
        <v>S1</v>
      </c>
      <c r="D28" t="str">
        <f t="shared" si="59"/>
        <v>T1-2017</v>
      </c>
      <c r="E28" t="str">
        <f t="shared" si="60"/>
        <v>S1-2017</v>
      </c>
      <c r="F28" t="str">
        <f t="shared" si="61"/>
        <v>janvier</v>
      </c>
      <c r="G28" t="str">
        <f t="shared" si="62"/>
        <v>january-2017</v>
      </c>
      <c r="H28" t="str">
        <f t="shared" si="6"/>
        <v>jan-17</v>
      </c>
      <c r="I28" s="2">
        <f t="shared" si="7"/>
        <v>201701</v>
      </c>
      <c r="J28" t="str">
        <f t="shared" si="63"/>
        <v>sunday</v>
      </c>
      <c r="K28" t="str">
        <f t="shared" si="64"/>
        <v>7</v>
      </c>
      <c r="L28">
        <f t="shared" si="65"/>
        <v>52</v>
      </c>
      <c r="M28">
        <f t="shared" si="66"/>
        <v>1</v>
      </c>
      <c r="N28" s="1">
        <f t="shared" si="67"/>
        <v>42736</v>
      </c>
      <c r="O28" s="1">
        <f t="shared" si="68"/>
        <v>42766</v>
      </c>
      <c r="P28" s="1">
        <f t="shared" si="69"/>
        <v>42795</v>
      </c>
      <c r="Q28" s="1">
        <f t="shared" si="70"/>
        <v>42675</v>
      </c>
      <c r="R28" s="1">
        <f t="shared" si="52"/>
        <v>42741</v>
      </c>
      <c r="S28" s="1">
        <f t="shared" si="53"/>
        <v>42732</v>
      </c>
      <c r="T28" s="1">
        <f t="shared" si="54"/>
        <v>43101</v>
      </c>
      <c r="U28" s="1">
        <f t="shared" si="55"/>
        <v>42370</v>
      </c>
      <c r="V28" s="2">
        <f t="shared" si="56"/>
        <v>1</v>
      </c>
      <c r="W28">
        <f t="shared" si="21"/>
        <v>0</v>
      </c>
      <c r="X28">
        <f t="shared" si="22"/>
        <v>0</v>
      </c>
      <c r="Y28" s="1">
        <f t="shared" si="23"/>
        <v>42737</v>
      </c>
      <c r="Z28" s="1">
        <f t="shared" si="24"/>
        <v>42737</v>
      </c>
      <c r="AA28" s="1">
        <f t="shared" si="25"/>
        <v>42735</v>
      </c>
      <c r="AB28" s="1">
        <f t="shared" si="26"/>
        <v>42735</v>
      </c>
      <c r="AC28" s="1">
        <f t="shared" si="27"/>
        <v>42841</v>
      </c>
      <c r="AD28" s="1">
        <f t="shared" si="28"/>
        <v>42737</v>
      </c>
      <c r="AE28" s="1">
        <f t="shared" si="29"/>
        <v>42737</v>
      </c>
      <c r="AF28" s="1">
        <f t="shared" si="30"/>
        <v>42766</v>
      </c>
      <c r="AG28" s="1">
        <f t="shared" si="31"/>
        <v>42766</v>
      </c>
      <c r="AH28">
        <f t="shared" si="32"/>
        <v>22</v>
      </c>
      <c r="AI28">
        <f t="shared" si="33"/>
        <v>26</v>
      </c>
      <c r="AJ28">
        <f t="shared" si="34"/>
        <v>20170101</v>
      </c>
      <c r="AK28" s="1">
        <f t="shared" si="35"/>
        <v>42736</v>
      </c>
      <c r="AL28">
        <f t="shared" si="36"/>
        <v>31</v>
      </c>
      <c r="AM28" s="1">
        <v>31485</v>
      </c>
      <c r="AN28" s="14">
        <f t="shared" si="37"/>
        <v>30</v>
      </c>
    </row>
    <row r="29" spans="1:40" x14ac:dyDescent="0.25">
      <c r="A29" s="1">
        <v>42743</v>
      </c>
      <c r="B29" t="str">
        <f t="shared" si="57"/>
        <v>T1</v>
      </c>
      <c r="C29" t="str">
        <f t="shared" si="58"/>
        <v>S1</v>
      </c>
      <c r="D29" t="str">
        <f t="shared" si="59"/>
        <v>T1-2017</v>
      </c>
      <c r="E29" t="str">
        <f t="shared" si="60"/>
        <v>S1-2017</v>
      </c>
      <c r="F29" t="str">
        <f t="shared" si="61"/>
        <v>janvier</v>
      </c>
      <c r="G29" t="str">
        <f t="shared" si="62"/>
        <v>january-2017</v>
      </c>
      <c r="H29" t="str">
        <f t="shared" si="6"/>
        <v>jan-17</v>
      </c>
      <c r="I29" s="2">
        <f t="shared" si="7"/>
        <v>201701</v>
      </c>
      <c r="J29" t="str">
        <f t="shared" si="63"/>
        <v>sunday</v>
      </c>
      <c r="K29" t="str">
        <f t="shared" si="64"/>
        <v>7</v>
      </c>
      <c r="L29">
        <f t="shared" si="65"/>
        <v>1</v>
      </c>
      <c r="M29">
        <f t="shared" si="66"/>
        <v>2</v>
      </c>
      <c r="N29" s="1">
        <f t="shared" si="67"/>
        <v>42736</v>
      </c>
      <c r="O29" s="1">
        <f t="shared" si="68"/>
        <v>42766</v>
      </c>
      <c r="P29" s="1">
        <f t="shared" si="69"/>
        <v>42802</v>
      </c>
      <c r="Q29" s="1">
        <f t="shared" si="70"/>
        <v>42682</v>
      </c>
      <c r="R29" s="1">
        <f t="shared" si="52"/>
        <v>42748</v>
      </c>
      <c r="S29" s="1">
        <f t="shared" si="53"/>
        <v>42739</v>
      </c>
      <c r="T29" s="1">
        <f t="shared" si="54"/>
        <v>43108</v>
      </c>
      <c r="U29" s="1">
        <f t="shared" si="55"/>
        <v>42377</v>
      </c>
      <c r="V29" s="2">
        <f t="shared" si="56"/>
        <v>0</v>
      </c>
      <c r="W29">
        <f t="shared" si="21"/>
        <v>0</v>
      </c>
      <c r="X29">
        <f t="shared" si="22"/>
        <v>0</v>
      </c>
      <c r="Y29" s="1">
        <f t="shared" si="23"/>
        <v>42744</v>
      </c>
      <c r="Z29" s="1">
        <f t="shared" si="24"/>
        <v>42744</v>
      </c>
      <c r="AA29" s="1">
        <f t="shared" si="25"/>
        <v>42742</v>
      </c>
      <c r="AB29" s="1">
        <f t="shared" si="26"/>
        <v>42742</v>
      </c>
      <c r="AC29" s="1">
        <f t="shared" si="27"/>
        <v>42841</v>
      </c>
      <c r="AD29" s="1">
        <f t="shared" si="28"/>
        <v>42737</v>
      </c>
      <c r="AE29" s="1">
        <f t="shared" si="29"/>
        <v>42737</v>
      </c>
      <c r="AF29" s="1">
        <f t="shared" si="30"/>
        <v>42766</v>
      </c>
      <c r="AG29" s="1">
        <f t="shared" si="31"/>
        <v>42766</v>
      </c>
      <c r="AH29">
        <f t="shared" si="32"/>
        <v>22</v>
      </c>
      <c r="AI29">
        <f t="shared" si="33"/>
        <v>26</v>
      </c>
      <c r="AJ29">
        <f t="shared" si="34"/>
        <v>20170108</v>
      </c>
      <c r="AK29" s="1">
        <f t="shared" si="35"/>
        <v>42743</v>
      </c>
      <c r="AL29">
        <f t="shared" si="36"/>
        <v>31</v>
      </c>
      <c r="AM29" s="1">
        <v>31486</v>
      </c>
      <c r="AN29" s="14">
        <f t="shared" si="37"/>
        <v>30</v>
      </c>
    </row>
    <row r="30" spans="1:40" x14ac:dyDescent="0.25">
      <c r="A30" s="1">
        <v>42729</v>
      </c>
      <c r="B30" t="str">
        <f t="shared" si="57"/>
        <v>T4</v>
      </c>
      <c r="C30" t="str">
        <f t="shared" si="58"/>
        <v>S2</v>
      </c>
      <c r="D30" t="str">
        <f t="shared" si="59"/>
        <v>T4-2016</v>
      </c>
      <c r="E30" t="str">
        <f t="shared" si="60"/>
        <v>S2-2016</v>
      </c>
      <c r="F30" t="str">
        <f t="shared" si="61"/>
        <v>décembre</v>
      </c>
      <c r="G30" t="str">
        <f t="shared" si="62"/>
        <v>december-2016</v>
      </c>
      <c r="H30" t="str">
        <f t="shared" si="6"/>
        <v>dec-16</v>
      </c>
      <c r="I30" s="2">
        <f t="shared" si="7"/>
        <v>201612</v>
      </c>
      <c r="J30" t="str">
        <f t="shared" si="63"/>
        <v>sunday</v>
      </c>
      <c r="K30" t="str">
        <f t="shared" si="64"/>
        <v>7</v>
      </c>
      <c r="L30">
        <f t="shared" si="65"/>
        <v>51</v>
      </c>
      <c r="M30">
        <f t="shared" si="66"/>
        <v>53</v>
      </c>
      <c r="N30" s="1">
        <f t="shared" si="67"/>
        <v>42705</v>
      </c>
      <c r="O30" s="1">
        <f t="shared" si="68"/>
        <v>42735</v>
      </c>
      <c r="P30" s="1">
        <f t="shared" si="69"/>
        <v>42791</v>
      </c>
      <c r="Q30" s="1">
        <f t="shared" si="70"/>
        <v>42668</v>
      </c>
      <c r="R30" s="1">
        <f t="shared" si="52"/>
        <v>42734</v>
      </c>
      <c r="S30" s="1">
        <f t="shared" si="53"/>
        <v>42725</v>
      </c>
      <c r="T30" s="1">
        <f t="shared" si="54"/>
        <v>43094</v>
      </c>
      <c r="U30" s="1">
        <f t="shared" si="55"/>
        <v>42363</v>
      </c>
      <c r="V30" s="2">
        <f t="shared" si="56"/>
        <v>1</v>
      </c>
      <c r="W30">
        <f t="shared" si="21"/>
        <v>0</v>
      </c>
      <c r="X30">
        <f t="shared" si="22"/>
        <v>0</v>
      </c>
      <c r="Y30" s="1">
        <f t="shared" si="23"/>
        <v>42730</v>
      </c>
      <c r="Z30" s="1">
        <f t="shared" si="24"/>
        <v>42730</v>
      </c>
      <c r="AA30" s="1">
        <f t="shared" si="25"/>
        <v>42728</v>
      </c>
      <c r="AB30" s="1">
        <f t="shared" si="26"/>
        <v>42728</v>
      </c>
      <c r="AC30" s="1">
        <f t="shared" si="27"/>
        <v>42736</v>
      </c>
      <c r="AD30" s="1">
        <f t="shared" si="28"/>
        <v>42705</v>
      </c>
      <c r="AE30" s="1">
        <f t="shared" si="29"/>
        <v>42705</v>
      </c>
      <c r="AF30" s="1">
        <f t="shared" si="30"/>
        <v>42734</v>
      </c>
      <c r="AG30" s="1">
        <f t="shared" si="31"/>
        <v>42735</v>
      </c>
      <c r="AH30">
        <f t="shared" si="32"/>
        <v>22</v>
      </c>
      <c r="AI30">
        <f t="shared" si="33"/>
        <v>27</v>
      </c>
      <c r="AJ30">
        <f t="shared" si="34"/>
        <v>20161225</v>
      </c>
      <c r="AK30" s="1">
        <f t="shared" si="35"/>
        <v>42729</v>
      </c>
      <c r="AL30">
        <f t="shared" si="36"/>
        <v>31</v>
      </c>
      <c r="AM30" s="1">
        <v>31487</v>
      </c>
      <c r="AN30" s="14">
        <f t="shared" si="37"/>
        <v>30</v>
      </c>
    </row>
    <row r="31" spans="1:40" x14ac:dyDescent="0.25">
      <c r="A31" s="1">
        <v>42735</v>
      </c>
      <c r="B31" t="str">
        <f t="shared" si="57"/>
        <v>T4</v>
      </c>
      <c r="C31" t="str">
        <f t="shared" si="58"/>
        <v>S2</v>
      </c>
      <c r="D31" t="str">
        <f t="shared" si="59"/>
        <v>T4-2016</v>
      </c>
      <c r="E31" t="str">
        <f t="shared" si="60"/>
        <v>S2-2016</v>
      </c>
      <c r="F31" t="str">
        <f t="shared" si="61"/>
        <v>décembre</v>
      </c>
      <c r="G31" t="str">
        <f t="shared" si="62"/>
        <v>december-2016</v>
      </c>
      <c r="H31" t="str">
        <f t="shared" si="6"/>
        <v>dec-16</v>
      </c>
      <c r="I31" s="2">
        <f t="shared" si="7"/>
        <v>201612</v>
      </c>
      <c r="J31" t="str">
        <f t="shared" si="63"/>
        <v>saturday</v>
      </c>
      <c r="K31" t="str">
        <f t="shared" si="64"/>
        <v>6</v>
      </c>
      <c r="L31">
        <f t="shared" si="65"/>
        <v>52</v>
      </c>
      <c r="M31">
        <f t="shared" si="66"/>
        <v>53</v>
      </c>
      <c r="N31" s="1">
        <f t="shared" si="67"/>
        <v>42705</v>
      </c>
      <c r="O31" s="1">
        <f t="shared" si="68"/>
        <v>42735</v>
      </c>
      <c r="P31" s="1">
        <f t="shared" si="69"/>
        <v>42794</v>
      </c>
      <c r="Q31" s="1">
        <f t="shared" si="70"/>
        <v>42674</v>
      </c>
      <c r="R31" s="1">
        <f t="shared" si="52"/>
        <v>42740</v>
      </c>
      <c r="S31" s="1">
        <f t="shared" si="53"/>
        <v>42731</v>
      </c>
      <c r="T31" s="1">
        <f t="shared" si="54"/>
        <v>43100</v>
      </c>
      <c r="U31" s="1">
        <f t="shared" si="55"/>
        <v>42369</v>
      </c>
      <c r="V31" s="2">
        <f t="shared" si="56"/>
        <v>0</v>
      </c>
      <c r="W31">
        <f t="shared" si="21"/>
        <v>0</v>
      </c>
      <c r="X31">
        <f t="shared" si="22"/>
        <v>1</v>
      </c>
      <c r="Y31" s="1">
        <f t="shared" si="23"/>
        <v>42737</v>
      </c>
      <c r="Z31" s="1">
        <f t="shared" si="24"/>
        <v>42735</v>
      </c>
      <c r="AA31" s="1">
        <f t="shared" si="25"/>
        <v>42734</v>
      </c>
      <c r="AB31" s="1">
        <f t="shared" si="26"/>
        <v>42734</v>
      </c>
      <c r="AC31" s="1">
        <f t="shared" si="27"/>
        <v>42736</v>
      </c>
      <c r="AD31" s="1">
        <f t="shared" si="28"/>
        <v>42705</v>
      </c>
      <c r="AE31" s="1">
        <f t="shared" si="29"/>
        <v>42705</v>
      </c>
      <c r="AF31" s="1">
        <f t="shared" si="30"/>
        <v>42734</v>
      </c>
      <c r="AG31" s="1">
        <f t="shared" si="31"/>
        <v>42735</v>
      </c>
      <c r="AH31">
        <f t="shared" si="32"/>
        <v>22</v>
      </c>
      <c r="AI31">
        <f t="shared" si="33"/>
        <v>27</v>
      </c>
      <c r="AJ31">
        <f t="shared" si="34"/>
        <v>20161231</v>
      </c>
      <c r="AK31" s="1">
        <f t="shared" si="35"/>
        <v>42735</v>
      </c>
      <c r="AL31">
        <f t="shared" si="36"/>
        <v>31</v>
      </c>
      <c r="AM31" s="1">
        <v>31488</v>
      </c>
      <c r="AN31" s="14">
        <f t="shared" si="37"/>
        <v>30</v>
      </c>
    </row>
    <row r="32" spans="1:40" x14ac:dyDescent="0.25">
      <c r="A32" s="1">
        <v>42891</v>
      </c>
      <c r="B32" t="str">
        <f t="shared" ref="B32" si="210">Quarter(A32,"FR")</f>
        <v>T2</v>
      </c>
      <c r="C32" t="str">
        <f t="shared" ref="C32" si="211">SEMESTER(A32)</f>
        <v>S1</v>
      </c>
      <c r="D32" t="str">
        <f t="shared" ref="D32" si="212">QUARTERYEAR(A32,"FR")</f>
        <v>T2-2017</v>
      </c>
      <c r="E32" t="str">
        <f t="shared" ref="E32" si="213">SEMESTERYEAR(A32)</f>
        <v>S1-2017</v>
      </c>
      <c r="F32" t="str">
        <f t="shared" ref="F32" si="214">MONTHTEXT(A32,"FR")</f>
        <v>juin</v>
      </c>
      <c r="G32" t="str">
        <f t="shared" ref="G32" si="215">MONTHYEAR(A32,"EN")</f>
        <v>june-2017</v>
      </c>
      <c r="H32" t="str">
        <f t="shared" si="6"/>
        <v>jun-17</v>
      </c>
      <c r="I32" s="2">
        <f t="shared" si="7"/>
        <v>201706</v>
      </c>
      <c r="J32" t="str">
        <f t="shared" ref="J32" si="216">DayWeek(A32)</f>
        <v>monday</v>
      </c>
      <c r="K32" t="str">
        <f t="shared" ref="K32" si="217">NumDayWeek(A32)</f>
        <v>1</v>
      </c>
      <c r="L32">
        <f t="shared" ref="L32" si="218">NumWeekYearEuro(A32)</f>
        <v>23</v>
      </c>
      <c r="M32">
        <f t="shared" ref="M32" si="219">NumWeekYearDefault(A32)</f>
        <v>23</v>
      </c>
      <c r="N32" s="1">
        <f t="shared" ref="N32" si="220">BeginMonth(A32)</f>
        <v>42887</v>
      </c>
      <c r="O32" s="1">
        <f t="shared" ref="O32" si="221">EndMonth(A32)</f>
        <v>42916</v>
      </c>
      <c r="P32" s="1">
        <f t="shared" ref="P32" si="222">AddMonth(A32,2)</f>
        <v>42952</v>
      </c>
      <c r="Q32" s="1">
        <f t="shared" ref="Q32" si="223">AddMonth(A32,-2)</f>
        <v>42830</v>
      </c>
      <c r="R32" s="1">
        <f t="shared" ref="R32" si="224">AddDay(A32,5)</f>
        <v>42896</v>
      </c>
      <c r="S32" s="1">
        <f t="shared" ref="S32" si="225">AddDay(A32,-4)</f>
        <v>42887</v>
      </c>
      <c r="T32" s="1">
        <f t="shared" ref="T32" si="226">AddYear(A32,1)</f>
        <v>43256</v>
      </c>
      <c r="U32" s="1">
        <f t="shared" ref="U32" si="227">AddYear(A32,-1)</f>
        <v>42526</v>
      </c>
      <c r="V32" s="2">
        <f t="shared" ref="V32" si="228">PublicHolidayFr(A32)</f>
        <v>1</v>
      </c>
      <c r="W32">
        <f t="shared" ref="W32" si="229">WorkingDay(A32)</f>
        <v>0</v>
      </c>
      <c r="X32">
        <f t="shared" ref="X32" si="230">WorkableDay(A32)</f>
        <v>0</v>
      </c>
      <c r="Y32" s="1">
        <f t="shared" ref="Y32" si="231">NextWorkingDay(A32)</f>
        <v>42892</v>
      </c>
      <c r="Z32" s="1">
        <f t="shared" ref="Z32" si="232">NextWorkableDay(A32)</f>
        <v>42892</v>
      </c>
      <c r="AA32" s="1">
        <f t="shared" ref="AA32" si="233">PrevWorkingDay(A32)</f>
        <v>42889</v>
      </c>
      <c r="AB32" s="1">
        <f t="shared" ref="AB32" si="234">PrevWorkableDay(A32)</f>
        <v>42889</v>
      </c>
      <c r="AC32" s="1">
        <f t="shared" ref="AC32" si="235">NextPublicHoliday(A32)</f>
        <v>42930</v>
      </c>
      <c r="AD32" s="1">
        <f t="shared" si="28"/>
        <v>42887</v>
      </c>
      <c r="AE32" s="1">
        <f t="shared" si="29"/>
        <v>42887</v>
      </c>
      <c r="AF32" s="1">
        <f t="shared" si="30"/>
        <v>42916</v>
      </c>
      <c r="AG32" s="1">
        <f t="shared" si="31"/>
        <v>42916</v>
      </c>
      <c r="AH32">
        <f t="shared" si="32"/>
        <v>21</v>
      </c>
      <c r="AI32">
        <f t="shared" si="33"/>
        <v>25</v>
      </c>
      <c r="AJ32">
        <f t="shared" si="34"/>
        <v>20170605</v>
      </c>
      <c r="AK32" s="1">
        <f t="shared" si="35"/>
        <v>42891</v>
      </c>
      <c r="AL32">
        <f t="shared" si="36"/>
        <v>31</v>
      </c>
      <c r="AM32" s="1">
        <v>31489</v>
      </c>
      <c r="AN32" s="14">
        <f t="shared" si="37"/>
        <v>31</v>
      </c>
    </row>
    <row r="33" spans="1:40" x14ac:dyDescent="0.25">
      <c r="A33" s="1">
        <v>42931</v>
      </c>
      <c r="B33" t="str">
        <f t="shared" ref="B33" si="236">Quarter(A33,"FR")</f>
        <v>T3</v>
      </c>
      <c r="C33" t="str">
        <f t="shared" ref="C33" si="237">SEMESTER(A33)</f>
        <v>S2</v>
      </c>
      <c r="D33" t="str">
        <f t="shared" ref="D33" si="238">QUARTERYEAR(A33,"FR")</f>
        <v>T3-2017</v>
      </c>
      <c r="E33" t="str">
        <f t="shared" ref="E33" si="239">SEMESTERYEAR(A33)</f>
        <v>S2-2017</v>
      </c>
      <c r="F33" t="str">
        <f t="shared" ref="F33" si="240">MONTHTEXT(A33,"FR")</f>
        <v>juillet</v>
      </c>
      <c r="G33" t="str">
        <f t="shared" ref="G33" si="241">MONTHYEAR(A33,"EN")</f>
        <v>july-2017</v>
      </c>
      <c r="H33" t="str">
        <f t="shared" si="6"/>
        <v>jul-17</v>
      </c>
      <c r="I33" s="2">
        <f t="shared" si="7"/>
        <v>201707</v>
      </c>
      <c r="J33" t="str">
        <f t="shared" ref="J33" si="242">DayWeek(A33)</f>
        <v>saturday</v>
      </c>
      <c r="K33" t="str">
        <f t="shared" ref="K33" si="243">NumDayWeek(A33)</f>
        <v>6</v>
      </c>
      <c r="L33">
        <f t="shared" ref="L33" si="244">NumWeekYearEuro(A33)</f>
        <v>28</v>
      </c>
      <c r="M33">
        <f t="shared" ref="M33" si="245">NumWeekYearDefault(A33)</f>
        <v>28</v>
      </c>
      <c r="N33" s="1">
        <f t="shared" ref="N33" si="246">BeginMonth(A33)</f>
        <v>42917</v>
      </c>
      <c r="O33" s="1">
        <f t="shared" ref="O33" si="247">EndMonth(A33)</f>
        <v>42947</v>
      </c>
      <c r="P33" s="1">
        <f t="shared" ref="P33" si="248">AddMonth(A33,2)</f>
        <v>42993</v>
      </c>
      <c r="Q33" s="1">
        <f t="shared" ref="Q33" si="249">AddMonth(A33,-2)</f>
        <v>42870</v>
      </c>
      <c r="R33" s="1">
        <f t="shared" ref="R33" si="250">AddDay(A33,5)</f>
        <v>42936</v>
      </c>
      <c r="S33" s="1">
        <f t="shared" ref="S33" si="251">AddDay(A33,-4)</f>
        <v>42927</v>
      </c>
      <c r="T33" s="1">
        <f t="shared" ref="T33" si="252">AddYear(A33,1)</f>
        <v>43296</v>
      </c>
      <c r="U33" s="1">
        <f t="shared" ref="U33" si="253">AddYear(A33,-1)</f>
        <v>42566</v>
      </c>
      <c r="V33" s="2">
        <f t="shared" ref="V33" si="254">PublicHolidayFr(A33)</f>
        <v>0</v>
      </c>
      <c r="W33">
        <f t="shared" ref="W33" si="255">WorkingDay(A33)</f>
        <v>0</v>
      </c>
      <c r="X33">
        <f t="shared" ref="X33" si="256">WorkableDay(A33)</f>
        <v>1</v>
      </c>
      <c r="Y33" s="1">
        <f t="shared" ref="Y33" si="257">NextWorkingDay(A33)</f>
        <v>42933</v>
      </c>
      <c r="Z33" s="1">
        <f t="shared" ref="Z33" si="258">NextWorkableDay(A33)</f>
        <v>42931</v>
      </c>
      <c r="AA33" s="1">
        <f t="shared" ref="AA33" si="259">PrevWorkingDay(A33)</f>
        <v>42929</v>
      </c>
      <c r="AB33" s="1">
        <f t="shared" ref="AB33" si="260">PrevWorkableDay(A33)</f>
        <v>42929</v>
      </c>
      <c r="AC33" s="1">
        <f t="shared" ref="AC33" si="261">NextPublicHoliday(A33)</f>
        <v>42962</v>
      </c>
      <c r="AD33" s="1">
        <f t="shared" si="28"/>
        <v>42919</v>
      </c>
      <c r="AE33" s="1">
        <f t="shared" si="29"/>
        <v>42917</v>
      </c>
      <c r="AF33" s="1">
        <f t="shared" si="30"/>
        <v>42947</v>
      </c>
      <c r="AG33" s="1">
        <f t="shared" si="31"/>
        <v>42947</v>
      </c>
      <c r="AH33">
        <f t="shared" si="32"/>
        <v>20</v>
      </c>
      <c r="AI33">
        <f t="shared" si="33"/>
        <v>25</v>
      </c>
      <c r="AJ33">
        <f t="shared" si="34"/>
        <v>20170715</v>
      </c>
      <c r="AK33" s="1">
        <f t="shared" si="35"/>
        <v>42931</v>
      </c>
      <c r="AL33">
        <f t="shared" si="36"/>
        <v>31</v>
      </c>
      <c r="AM33" s="1">
        <v>31490</v>
      </c>
      <c r="AN33" s="14">
        <f t="shared" si="37"/>
        <v>31</v>
      </c>
    </row>
    <row r="34" spans="1:40" x14ac:dyDescent="0.25">
      <c r="A34" s="1">
        <v>42809</v>
      </c>
      <c r="B34" t="str">
        <f t="shared" ref="B34" si="262">Quarter(A34,"FR")</f>
        <v>T1</v>
      </c>
      <c r="C34" t="str">
        <f t="shared" ref="C34" si="263">SEMESTER(A34)</f>
        <v>S1</v>
      </c>
      <c r="D34" t="str">
        <f t="shared" ref="D34" si="264">QUARTERYEAR(A34,"FR")</f>
        <v>T1-2017</v>
      </c>
      <c r="E34" t="str">
        <f t="shared" ref="E34" si="265">SEMESTERYEAR(A34)</f>
        <v>S1-2017</v>
      </c>
      <c r="F34" t="str">
        <f t="shared" ref="F34" si="266">MONTHTEXT(A34,"FR")</f>
        <v>mars</v>
      </c>
      <c r="G34" t="str">
        <f t="shared" ref="G34" si="267">MONTHYEAR(A34,"EN")</f>
        <v>march-2017</v>
      </c>
      <c r="H34" t="str">
        <f t="shared" ref="H34" si="268">MonthYearMini(A34)</f>
        <v>mar-17</v>
      </c>
      <c r="I34" s="2">
        <f t="shared" ref="I34" si="269">MonthYearNum(A34)</f>
        <v>201703</v>
      </c>
      <c r="J34" t="str">
        <f t="shared" ref="J34" si="270">DayWeek(A34)</f>
        <v>wednesday</v>
      </c>
      <c r="K34" t="str">
        <f t="shared" ref="K34" si="271">NumDayWeek(A34)</f>
        <v>3</v>
      </c>
      <c r="L34">
        <f t="shared" ref="L34" si="272">NumWeekYearEuro(A34)</f>
        <v>11</v>
      </c>
      <c r="M34">
        <f t="shared" ref="M34" si="273">NumWeekYearDefault(A34)</f>
        <v>11</v>
      </c>
      <c r="N34" s="1">
        <f t="shared" ref="N34" si="274">BeginMonth(A34)</f>
        <v>42795</v>
      </c>
      <c r="O34" s="1">
        <f t="shared" ref="O34" si="275">EndMonth(A34)</f>
        <v>42825</v>
      </c>
      <c r="P34" s="1">
        <f t="shared" ref="P34" si="276">AddMonth(A34,2)</f>
        <v>42870</v>
      </c>
      <c r="Q34" s="1">
        <f t="shared" ref="Q34" si="277">AddMonth(A34,-2)</f>
        <v>42750</v>
      </c>
      <c r="R34" s="1">
        <f t="shared" ref="R34" si="278">AddDay(A34,5)</f>
        <v>42814</v>
      </c>
      <c r="S34" s="1">
        <f t="shared" ref="S34" si="279">AddDay(A34,-4)</f>
        <v>42805</v>
      </c>
      <c r="T34" s="1">
        <f t="shared" ref="T34" si="280">AddYear(A34,1)</f>
        <v>43174</v>
      </c>
      <c r="U34" s="1">
        <f t="shared" ref="U34" si="281">AddYear(A34,-1)</f>
        <v>42444</v>
      </c>
      <c r="V34" s="2">
        <f t="shared" ref="V34" si="282">PublicHolidayFr(A34)</f>
        <v>0</v>
      </c>
      <c r="W34">
        <f t="shared" ref="W34" si="283">WorkingDay(A34)</f>
        <v>1</v>
      </c>
      <c r="X34">
        <f t="shared" ref="X34" si="284">WorkableDay(A34)</f>
        <v>1</v>
      </c>
      <c r="Y34" s="1">
        <f t="shared" ref="Y34" si="285">NextWorkingDay(A34)</f>
        <v>42809</v>
      </c>
      <c r="Z34" s="1">
        <f t="shared" ref="Z34" si="286">NextWorkableDay(A34)</f>
        <v>42809</v>
      </c>
      <c r="AA34" s="1">
        <f t="shared" ref="AA34" si="287">PrevWorkingDay(A34)</f>
        <v>42808</v>
      </c>
      <c r="AB34" s="1">
        <f t="shared" ref="AB34" si="288">PrevWorkableDay(A34)</f>
        <v>42808</v>
      </c>
      <c r="AC34" s="1">
        <f t="shared" ref="AC34" si="289">NextPublicHoliday(A34)</f>
        <v>42841</v>
      </c>
      <c r="AD34" s="1">
        <f t="shared" ref="AD34" si="290">FirstWorkingDayMonth(A34)</f>
        <v>42795</v>
      </c>
      <c r="AE34" s="1">
        <f t="shared" ref="AE34" si="291">FirstWorkableDayMonth(A34)</f>
        <v>42795</v>
      </c>
      <c r="AF34" s="1">
        <f t="shared" ref="AF34" si="292">LastWorkingDayMonth(A34)</f>
        <v>42825</v>
      </c>
      <c r="AG34" s="1">
        <f t="shared" ref="AG34" si="293">LastWorkableDayMonth(A34)</f>
        <v>42825</v>
      </c>
      <c r="AH34">
        <f t="shared" ref="AH34" si="294">NumberWorkinDayMonth(A34)</f>
        <v>23</v>
      </c>
      <c r="AI34">
        <f t="shared" ref="AI34" si="295">NumberWorkableDayMonth(A34)</f>
        <v>27</v>
      </c>
      <c r="AJ34">
        <f t="shared" ref="AJ34" si="296">DateToNum(A34)</f>
        <v>20170315</v>
      </c>
      <c r="AK34" s="1">
        <f t="shared" si="35"/>
        <v>42809</v>
      </c>
      <c r="AL34">
        <f t="shared" si="36"/>
        <v>59</v>
      </c>
      <c r="AM34" s="1">
        <v>21290</v>
      </c>
      <c r="AN34" s="14">
        <f t="shared" si="37"/>
        <v>58</v>
      </c>
    </row>
    <row r="35" spans="1:40" x14ac:dyDescent="0.25">
      <c r="B35" t="str">
        <f t="shared" si="57"/>
        <v>T2</v>
      </c>
      <c r="C35" t="str">
        <f t="shared" si="58"/>
        <v>S1</v>
      </c>
      <c r="D35" t="str">
        <f t="shared" si="59"/>
        <v>T2-2017</v>
      </c>
      <c r="E35" t="str">
        <f t="shared" si="60"/>
        <v>S1-2017</v>
      </c>
      <c r="F35" t="str">
        <f t="shared" si="61"/>
        <v>avril</v>
      </c>
      <c r="G35" t="str">
        <f t="shared" si="62"/>
        <v>april-2017</v>
      </c>
      <c r="H35" t="str">
        <f t="shared" si="6"/>
        <v>apr-17</v>
      </c>
      <c r="I35" s="2">
        <f t="shared" si="7"/>
        <v>201704</v>
      </c>
      <c r="J35" t="str">
        <f t="shared" si="63"/>
        <v>tuesday</v>
      </c>
      <c r="K35" t="str">
        <f t="shared" si="64"/>
        <v>2</v>
      </c>
      <c r="L35">
        <f t="shared" si="65"/>
        <v>16</v>
      </c>
      <c r="M35">
        <f t="shared" si="66"/>
        <v>16</v>
      </c>
      <c r="N35" s="1">
        <f t="shared" si="67"/>
        <v>42826</v>
      </c>
      <c r="O35" s="1">
        <f t="shared" si="68"/>
        <v>42855</v>
      </c>
      <c r="P35" s="1">
        <f t="shared" si="69"/>
        <v>42904</v>
      </c>
      <c r="Q35" s="1">
        <f t="shared" si="70"/>
        <v>42784</v>
      </c>
      <c r="R35" s="1">
        <f t="shared" si="52"/>
        <v>42848</v>
      </c>
      <c r="S35" s="1">
        <f t="shared" si="53"/>
        <v>42839</v>
      </c>
      <c r="T35" s="1">
        <f t="shared" si="54"/>
        <v>43208</v>
      </c>
      <c r="U35" s="1">
        <f t="shared" si="55"/>
        <v>42478</v>
      </c>
      <c r="V35" s="2">
        <f t="shared" si="56"/>
        <v>0</v>
      </c>
      <c r="W35">
        <f t="shared" si="21"/>
        <v>1</v>
      </c>
      <c r="X35">
        <f t="shared" si="22"/>
        <v>1</v>
      </c>
      <c r="Y35" s="1">
        <f t="shared" si="23"/>
        <v>42843</v>
      </c>
      <c r="Z35" s="1">
        <f t="shared" si="24"/>
        <v>42843</v>
      </c>
      <c r="AA35" s="1">
        <f t="shared" si="25"/>
        <v>42840</v>
      </c>
      <c r="AB35" s="1">
        <f t="shared" si="26"/>
        <v>42840</v>
      </c>
      <c r="AC35" s="1">
        <f t="shared" si="27"/>
        <v>42856</v>
      </c>
      <c r="AD35" s="1">
        <f t="shared" si="28"/>
        <v>42828</v>
      </c>
      <c r="AE35" s="1">
        <f t="shared" si="29"/>
        <v>42826</v>
      </c>
      <c r="AF35" s="1">
        <f t="shared" si="30"/>
        <v>42854</v>
      </c>
      <c r="AG35" s="1">
        <f t="shared" si="31"/>
        <v>42854</v>
      </c>
      <c r="AH35">
        <f t="shared" si="32"/>
        <v>19</v>
      </c>
      <c r="AI35">
        <f t="shared" si="33"/>
        <v>24</v>
      </c>
      <c r="AJ35">
        <f t="shared" si="34"/>
        <v>20170418</v>
      </c>
      <c r="AK35" s="1">
        <f t="shared" si="35"/>
        <v>42843</v>
      </c>
      <c r="AL35">
        <f t="shared" si="36"/>
        <v>117</v>
      </c>
    </row>
    <row r="40" spans="1:40" x14ac:dyDescent="0.25">
      <c r="B40" s="9"/>
      <c r="C40" s="9"/>
      <c r="D40" s="9" t="s">
        <v>35</v>
      </c>
      <c r="E40" s="9" t="s">
        <v>36</v>
      </c>
      <c r="F40" s="9" t="s">
        <v>38</v>
      </c>
      <c r="G40" s="9" t="s">
        <v>39</v>
      </c>
      <c r="H40" s="9" t="s">
        <v>37</v>
      </c>
      <c r="I40" s="13"/>
    </row>
    <row r="41" spans="1:40" x14ac:dyDescent="0.25">
      <c r="B41" s="9" t="s">
        <v>33</v>
      </c>
      <c r="C41" s="10">
        <f>A4</f>
        <v>42795</v>
      </c>
      <c r="D41" s="9">
        <f>NumberWorkinDay(C41,C42)</f>
        <v>42</v>
      </c>
      <c r="E41" s="9">
        <f>NumberWorkableDay(C41,C42)</f>
        <v>51</v>
      </c>
      <c r="F41" s="11">
        <f>DateDiffDay(C41,C42)</f>
        <v>60</v>
      </c>
      <c r="G41" s="11">
        <f>DateDiffMonth(C41,C42)</f>
        <v>1</v>
      </c>
      <c r="H41" s="11">
        <f>DateDiffYear(C41,C42)</f>
        <v>0</v>
      </c>
      <c r="I41" s="13"/>
    </row>
    <row r="42" spans="1:40" x14ac:dyDescent="0.25">
      <c r="B42" s="9" t="s">
        <v>34</v>
      </c>
      <c r="C42" s="10">
        <v>42855</v>
      </c>
      <c r="D42" s="9">
        <f t="shared" ref="D42:D47" si="297">NumberWorkinDay(C42,C43)</f>
        <v>0</v>
      </c>
      <c r="E42" s="9">
        <f t="shared" ref="E42:E45" si="298">NumberWorkableDay(C42,C43)</f>
        <v>0</v>
      </c>
      <c r="F42" s="11">
        <f t="shared" ref="F42:F45" si="299">DateDiffDay(C42,C43)</f>
        <v>1</v>
      </c>
      <c r="G42" s="11">
        <f t="shared" ref="G42:G43" si="300">DateDiffMonth(C42,C43)</f>
        <v>1</v>
      </c>
      <c r="H42" s="11">
        <f>DateDiffYear(C42,C43)</f>
        <v>0</v>
      </c>
      <c r="I42" s="13"/>
    </row>
    <row r="43" spans="1:40" x14ac:dyDescent="0.25">
      <c r="B43" s="9"/>
      <c r="C43" s="10">
        <v>42856</v>
      </c>
      <c r="D43" s="9">
        <f t="shared" si="297"/>
        <v>9</v>
      </c>
      <c r="E43" s="9">
        <f t="shared" si="298"/>
        <v>11</v>
      </c>
      <c r="F43" s="11">
        <f t="shared" si="299"/>
        <v>14</v>
      </c>
      <c r="G43" s="11">
        <f t="shared" si="300"/>
        <v>0</v>
      </c>
      <c r="H43" s="11">
        <f>DateDiffYear(C43,C44)</f>
        <v>0</v>
      </c>
      <c r="I43" s="13"/>
    </row>
    <row r="44" spans="1:40" x14ac:dyDescent="0.25">
      <c r="B44" s="9"/>
      <c r="C44" s="10">
        <v>42870</v>
      </c>
      <c r="D44" s="9">
        <f t="shared" si="297"/>
        <v>12</v>
      </c>
      <c r="E44" s="9">
        <f t="shared" si="298"/>
        <v>14</v>
      </c>
      <c r="F44" s="11">
        <f t="shared" si="299"/>
        <v>16</v>
      </c>
      <c r="G44" s="11">
        <f>DateDiffMonth(C44,C45)</f>
        <v>0</v>
      </c>
      <c r="H44" s="11">
        <f>DateDiffYear(C44,C45)</f>
        <v>0</v>
      </c>
      <c r="I44" s="13"/>
    </row>
    <row r="45" spans="1:40" x14ac:dyDescent="0.25">
      <c r="B45" s="9"/>
      <c r="C45" s="10">
        <v>42886</v>
      </c>
      <c r="D45" s="9">
        <f t="shared" si="297"/>
        <v>2</v>
      </c>
      <c r="E45" s="9">
        <f t="shared" si="298"/>
        <v>2</v>
      </c>
      <c r="F45" s="11">
        <f t="shared" si="299"/>
        <v>1</v>
      </c>
      <c r="G45" s="11">
        <f>DateDiffMonth(C45,C46)</f>
        <v>1</v>
      </c>
      <c r="H45" s="11">
        <f>DateDiffYear(C45,C46)</f>
        <v>0</v>
      </c>
      <c r="I45" s="13"/>
    </row>
    <row r="46" spans="1:40" x14ac:dyDescent="0.25">
      <c r="B46" s="9"/>
      <c r="C46" s="10">
        <v>42887</v>
      </c>
      <c r="D46" s="9">
        <f t="shared" si="297"/>
        <v>251</v>
      </c>
      <c r="E46" s="9">
        <f t="shared" ref="E46" si="301">NumberWorkableDay(C46,C47)</f>
        <v>302</v>
      </c>
      <c r="F46" s="11">
        <f t="shared" ref="F46" si="302">DateDiffDay(C46,C47)</f>
        <v>365</v>
      </c>
      <c r="G46" s="11">
        <f>DateDiffMonth(C46,C47)</f>
        <v>12</v>
      </c>
      <c r="H46" s="11">
        <f>DateDiffYear(C46,C47)</f>
        <v>1</v>
      </c>
      <c r="I46" s="13"/>
    </row>
    <row r="47" spans="1:40" x14ac:dyDescent="0.25">
      <c r="B47" s="9"/>
      <c r="C47" s="10">
        <v>43252</v>
      </c>
      <c r="D47" s="9">
        <f t="shared" si="297"/>
        <v>1</v>
      </c>
      <c r="E47" s="9">
        <f t="shared" ref="E47" si="303">NumberWorkableDay(C47,C48)</f>
        <v>2</v>
      </c>
      <c r="F47" s="11">
        <f t="shared" ref="F47" si="304">DateDiffDay(C47,C48)</f>
        <v>1</v>
      </c>
      <c r="G47" s="11">
        <f>DateDiffMonth(C47,C48)</f>
        <v>0</v>
      </c>
      <c r="H47" s="11">
        <f>DateDiffYear(C47,C48)</f>
        <v>0</v>
      </c>
      <c r="I47" s="13"/>
    </row>
    <row r="48" spans="1:40" x14ac:dyDescent="0.25">
      <c r="B48" s="9"/>
      <c r="C48" s="10">
        <v>43253</v>
      </c>
      <c r="D48" s="9"/>
      <c r="E48" s="9"/>
      <c r="F48" s="9"/>
      <c r="G48" s="9"/>
      <c r="H48" s="9"/>
      <c r="I48" s="1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Date Functions Examples</vt:lpstr>
    </vt:vector>
  </TitlesOfParts>
  <Company>Euro Information client principal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Nicolas</dc:creator>
  <cp:lastModifiedBy>DUPONT Nicolas</cp:lastModifiedBy>
  <dcterms:created xsi:type="dcterms:W3CDTF">2017-04-06T09:44:42Z</dcterms:created>
  <dcterms:modified xsi:type="dcterms:W3CDTF">2017-04-18T11:11:50Z</dcterms:modified>
</cp:coreProperties>
</file>