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840" yWindow="600" windowWidth="25875" windowHeight="12375"/>
  </bookViews>
  <sheets>
    <sheet name="Math Functions Examples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R33" i="1" l="1"/>
  <c r="R35" i="1"/>
  <c r="R37" i="1"/>
  <c r="R41" i="1"/>
  <c r="S35" i="1"/>
  <c r="S39" i="1"/>
  <c r="R34" i="1"/>
  <c r="R36" i="1"/>
  <c r="R38" i="1"/>
  <c r="R40" i="1"/>
  <c r="R42" i="1"/>
  <c r="S34" i="1"/>
  <c r="S36" i="1"/>
  <c r="S38" i="1"/>
  <c r="S40" i="1"/>
  <c r="S42" i="1"/>
  <c r="R39" i="1"/>
  <c r="S33" i="1"/>
  <c r="S37" i="1"/>
  <c r="S41" i="1"/>
  <c r="S32" i="1"/>
  <c r="R32" i="1"/>
  <c r="Q28" i="1"/>
  <c r="Q30" i="1"/>
  <c r="Q31" i="1"/>
  <c r="Q29" i="1"/>
  <c r="Q27" i="1"/>
  <c r="P28" i="1"/>
  <c r="P30" i="1"/>
  <c r="P31" i="1"/>
  <c r="P29" i="1"/>
  <c r="P27" i="1"/>
  <c r="O5" i="1"/>
  <c r="O21" i="1"/>
  <c r="O23" i="1"/>
  <c r="O10" i="1"/>
  <c r="O26" i="1"/>
  <c r="O16" i="1"/>
  <c r="N9" i="1"/>
  <c r="N25" i="1"/>
  <c r="N12" i="1"/>
  <c r="N14" i="1"/>
  <c r="N11" i="1"/>
  <c r="N24" i="1"/>
  <c r="M13" i="1"/>
  <c r="M11" i="1"/>
  <c r="M6" i="1"/>
  <c r="M22" i="1"/>
  <c r="M23" i="1"/>
  <c r="M4" i="1"/>
  <c r="O9" i="1"/>
  <c r="O12" i="1"/>
  <c r="O14" i="1"/>
  <c r="O24" i="1"/>
  <c r="N7" i="1"/>
  <c r="N18" i="1"/>
  <c r="N4" i="1"/>
  <c r="M19" i="1"/>
  <c r="M26" i="1"/>
  <c r="O13" i="1"/>
  <c r="O7" i="1"/>
  <c r="O20" i="1"/>
  <c r="O18" i="1"/>
  <c r="O19" i="1"/>
  <c r="O4" i="1"/>
  <c r="N17" i="1"/>
  <c r="N15" i="1"/>
  <c r="N6" i="1"/>
  <c r="N22" i="1"/>
  <c r="N8" i="1"/>
  <c r="M5" i="1"/>
  <c r="M21" i="1"/>
  <c r="M8" i="1"/>
  <c r="M14" i="1"/>
  <c r="M7" i="1"/>
  <c r="M20" i="1"/>
  <c r="O17" i="1"/>
  <c r="O15" i="1"/>
  <c r="O6" i="1"/>
  <c r="O22" i="1"/>
  <c r="O8" i="1"/>
  <c r="N5" i="1"/>
  <c r="N21" i="1"/>
  <c r="N23" i="1"/>
  <c r="N10" i="1"/>
  <c r="N26" i="1"/>
  <c r="N16" i="1"/>
  <c r="M9" i="1"/>
  <c r="M25" i="1"/>
  <c r="M16" i="1"/>
  <c r="M18" i="1"/>
  <c r="M15" i="1"/>
  <c r="M24" i="1"/>
  <c r="O25" i="1"/>
  <c r="O11" i="1"/>
  <c r="N13" i="1"/>
  <c r="N20" i="1"/>
  <c r="N19" i="1"/>
  <c r="M17" i="1"/>
  <c r="M10" i="1"/>
  <c r="M12" i="1"/>
  <c r="L5" i="1"/>
  <c r="L21" i="1"/>
  <c r="L16" i="1"/>
  <c r="L14" i="1"/>
  <c r="L15" i="1"/>
  <c r="L4" i="1"/>
  <c r="K17" i="1"/>
  <c r="K19" i="1"/>
  <c r="K6" i="1"/>
  <c r="K22" i="1"/>
  <c r="K12" i="1"/>
  <c r="J9" i="1"/>
  <c r="J25" i="1"/>
  <c r="J16" i="1"/>
  <c r="J18" i="1"/>
  <c r="J23" i="1"/>
  <c r="I18" i="1"/>
  <c r="I11" i="1"/>
  <c r="I8" i="1"/>
  <c r="I24" i="1"/>
  <c r="I17" i="1"/>
  <c r="F6" i="1"/>
  <c r="F23" i="1"/>
  <c r="G17" i="1"/>
  <c r="G8" i="1"/>
  <c r="G25" i="1"/>
  <c r="F9" i="1"/>
  <c r="F18" i="1"/>
  <c r="F17" i="1"/>
  <c r="G10" i="1"/>
  <c r="F5" i="1"/>
  <c r="F26" i="1"/>
  <c r="G18" i="1"/>
  <c r="H10" i="1"/>
  <c r="D13" i="1"/>
  <c r="E18" i="1"/>
  <c r="H26" i="1"/>
  <c r="H8" i="1"/>
  <c r="D6" i="1"/>
  <c r="D16" i="1"/>
  <c r="H18" i="1"/>
  <c r="E5" i="1"/>
  <c r="E4" i="1"/>
  <c r="H9" i="1"/>
  <c r="H16" i="1"/>
  <c r="D17" i="1"/>
  <c r="E13" i="1"/>
  <c r="L9" i="1"/>
  <c r="L11" i="1"/>
  <c r="L24" i="1"/>
  <c r="L18" i="1"/>
  <c r="L23" i="1"/>
  <c r="K5" i="1"/>
  <c r="K21" i="1"/>
  <c r="K8" i="1"/>
  <c r="K10" i="1"/>
  <c r="K7" i="1"/>
  <c r="K20" i="1"/>
  <c r="J13" i="1"/>
  <c r="J11" i="1"/>
  <c r="J6" i="1"/>
  <c r="J22" i="1"/>
  <c r="J12" i="1"/>
  <c r="I6" i="1"/>
  <c r="I22" i="1"/>
  <c r="I15" i="1"/>
  <c r="I12" i="1"/>
  <c r="I5" i="1"/>
  <c r="I21" i="1"/>
  <c r="F10" i="1"/>
  <c r="F20" i="1"/>
  <c r="G15" i="1"/>
  <c r="F22" i="1"/>
  <c r="G14" i="1"/>
  <c r="G13" i="1"/>
  <c r="F11" i="1"/>
  <c r="G5" i="1"/>
  <c r="G26" i="1"/>
  <c r="G9" i="1"/>
  <c r="F16" i="1"/>
  <c r="G4" i="1"/>
  <c r="H7" i="1"/>
  <c r="E8" i="1"/>
  <c r="D11" i="1"/>
  <c r="H17" i="1"/>
  <c r="H4" i="1"/>
  <c r="D5" i="1"/>
  <c r="E16" i="1"/>
  <c r="H15" i="1"/>
  <c r="E9" i="1"/>
  <c r="D8" i="1"/>
  <c r="H6" i="1"/>
  <c r="D4" i="1"/>
  <c r="E17" i="1"/>
  <c r="L20" i="1"/>
  <c r="J5" i="1"/>
  <c r="J8" i="1"/>
  <c r="J15" i="1"/>
  <c r="I14" i="1"/>
  <c r="I23" i="1"/>
  <c r="I13" i="1"/>
  <c r="F7" i="1"/>
  <c r="F4" i="1"/>
  <c r="F21" i="1"/>
  <c r="G19" i="1"/>
  <c r="G23" i="1"/>
  <c r="G11" i="1"/>
  <c r="H13" i="1"/>
  <c r="D7" i="1"/>
  <c r="H11" i="1"/>
  <c r="D14" i="1"/>
  <c r="D10" i="1"/>
  <c r="H24" i="1"/>
  <c r="E11" i="1"/>
  <c r="L13" i="1"/>
  <c r="L19" i="1"/>
  <c r="L6" i="1"/>
  <c r="L22" i="1"/>
  <c r="L12" i="1"/>
  <c r="K9" i="1"/>
  <c r="K25" i="1"/>
  <c r="K16" i="1"/>
  <c r="K14" i="1"/>
  <c r="K15" i="1"/>
  <c r="K4" i="1"/>
  <c r="J17" i="1"/>
  <c r="J19" i="1"/>
  <c r="J10" i="1"/>
  <c r="J7" i="1"/>
  <c r="J20" i="1"/>
  <c r="I10" i="1"/>
  <c r="I26" i="1"/>
  <c r="I19" i="1"/>
  <c r="I16" i="1"/>
  <c r="I9" i="1"/>
  <c r="I25" i="1"/>
  <c r="F14" i="1"/>
  <c r="F13" i="1"/>
  <c r="G6" i="1"/>
  <c r="F12" i="1"/>
  <c r="G24" i="1"/>
  <c r="G20" i="1"/>
  <c r="F8" i="1"/>
  <c r="G21" i="1"/>
  <c r="G16" i="1"/>
  <c r="G12" i="1"/>
  <c r="F25" i="1"/>
  <c r="H25" i="1"/>
  <c r="H23" i="1"/>
  <c r="D9" i="1"/>
  <c r="E12" i="1"/>
  <c r="H14" i="1"/>
  <c r="D19" i="1"/>
  <c r="E19" i="1"/>
  <c r="H5" i="1"/>
  <c r="H12" i="1"/>
  <c r="E14" i="1"/>
  <c r="D15" i="1"/>
  <c r="H22" i="1"/>
  <c r="E6" i="1"/>
  <c r="E7" i="1"/>
  <c r="L17" i="1"/>
  <c r="L8" i="1"/>
  <c r="L10" i="1"/>
  <c r="L7" i="1"/>
  <c r="K13" i="1"/>
  <c r="K11" i="1"/>
  <c r="K24" i="1"/>
  <c r="K18" i="1"/>
  <c r="K23" i="1"/>
  <c r="J21" i="1"/>
  <c r="J14" i="1"/>
  <c r="J24" i="1"/>
  <c r="I7" i="1"/>
  <c r="I20" i="1"/>
  <c r="I4" i="1"/>
  <c r="G22" i="1"/>
  <c r="F19" i="1"/>
  <c r="F24" i="1"/>
  <c r="F15" i="1"/>
  <c r="G7" i="1"/>
  <c r="H20" i="1"/>
  <c r="E15" i="1"/>
  <c r="D18" i="1"/>
  <c r="H21" i="1"/>
  <c r="D12" i="1"/>
  <c r="H19" i="1"/>
  <c r="E10" i="1"/>
  <c r="J4" i="1"/>
</calcChain>
</file>

<file path=xl/sharedStrings.xml><?xml version="1.0" encoding="utf-8"?>
<sst xmlns="http://schemas.openxmlformats.org/spreadsheetml/2006/main" count="17" uniqueCount="17">
  <si>
    <t>Examples :</t>
  </si>
  <si>
    <t xml:space="preserve">Décimal part </t>
  </si>
  <si>
    <t>Is even</t>
  </si>
  <si>
    <t>Factorial</t>
  </si>
  <si>
    <t>Division</t>
  </si>
  <si>
    <t>Divisible by</t>
  </si>
  <si>
    <t>IsPrime</t>
  </si>
  <si>
    <t>Square perimeter</t>
  </si>
  <si>
    <t>Volume Cube</t>
  </si>
  <si>
    <t>Circle Area</t>
  </si>
  <si>
    <t>Square Area</t>
  </si>
  <si>
    <t>Circle perimeter</t>
  </si>
  <si>
    <t>Volume Sphere</t>
  </si>
  <si>
    <t>Convert to Miles</t>
  </si>
  <si>
    <t>Convert to Km</t>
  </si>
  <si>
    <t>Convert to Celcius</t>
  </si>
  <si>
    <t>Convert to Fahrenheit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</si>
</sst>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" fontId="0" fillId="0" borderId="0" xfId="0" applyNumberFormat="1"/>
    <xf numFmtId="0" fontId="1" fillId="0" borderId="0" xfId="0" applyFont="1"/>
    <xf numFmtId="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P42"/>
  <sheetViews>
    <sheetView tabSelected="1" workbookViewId="0">
      <selection activeCell="M5" sqref="M5"/>
    </sheetView>
  </sheetViews>
  <sheetFormatPr baseColWidth="10" defaultRowHeight="15" x14ac:dyDescent="0.25"/>
  <cols>
    <col min="1" max="1" width="5" bestFit="1" customWidth="1"/>
    <col min="2" max="2" width="3" bestFit="1" customWidth="1"/>
    <col min="3" max="3" width="13.28515625" bestFit="1" customWidth="1"/>
    <col min="4" max="4" width="12.5703125" style="5" bestFit="1" customWidth="1"/>
    <col min="5" max="5" width="7.28515625" bestFit="1" customWidth="1"/>
    <col min="6" max="6" width="12" bestFit="1" customWidth="1"/>
    <col min="7" max="7" width="12.7109375" bestFit="1" customWidth="1"/>
    <col min="8" max="8" width="11.28515625" bestFit="1" customWidth="1"/>
    <col min="9" max="9" width="9" customWidth="1"/>
    <col min="10" max="10" width="11.7109375" bestFit="1" customWidth="1"/>
    <col min="11" max="11" width="16.7109375" style="2" bestFit="1" customWidth="1"/>
    <col min="12" max="12" width="13" bestFit="1" customWidth="1"/>
    <col min="13" max="13" width="10.5703125" bestFit="1" customWidth="1"/>
    <col min="14" max="14" width="15.42578125" bestFit="1" customWidth="1"/>
    <col min="15" max="15" width="14.7109375" bestFit="1" customWidth="1"/>
    <col min="16" max="17" width="15.5703125" bestFit="1" customWidth="1"/>
    <col min="18" max="18" width="17.140625" style="4" bestFit="1" customWidth="1"/>
    <col min="19" max="19" width="20.5703125" style="4" bestFit="1" customWidth="1"/>
    <col min="20" max="21" width="8.7109375" style="1" customWidth="1"/>
    <col min="22" max="23" width="2.7109375" style="1" customWidth="1"/>
    <col min="24" max="24" width="2.7109375" style="2" customWidth="1"/>
    <col min="25" max="26" width="2.7109375" customWidth="1"/>
    <col min="27" max="35" width="2.7109375" style="1" customWidth="1"/>
    <col min="36" max="37" width="2.7109375" customWidth="1"/>
    <col min="38" max="38" width="13.5703125" bestFit="1" customWidth="1"/>
    <col min="39" max="39" width="13.85546875" style="1" bestFit="1" customWidth="1"/>
    <col min="42" max="42" width="11.42578125" style="4"/>
  </cols>
  <sheetData>
    <row r="1" spans="1:38" ht="18.75" x14ac:dyDescent="0.3">
      <c r="C1" s="3" t="s">
        <v>0</v>
      </c>
    </row>
    <row r="3" spans="1:38" x14ac:dyDescent="0.25">
      <c r="D3" s="5" t="s">
        <v>1</v>
      </c>
      <c r="E3" t="s">
        <v>2</v>
      </c>
      <c r="F3" t="s">
        <v>3</v>
      </c>
      <c r="G3" t="s">
        <v>4</v>
      </c>
      <c r="H3" t="s">
        <v>5</v>
      </c>
      <c r="I3" t="s">
        <v>6</v>
      </c>
      <c r="J3" t="s">
        <v>10</v>
      </c>
      <c r="K3" s="2" t="s">
        <v>7</v>
      </c>
      <c r="L3" t="s">
        <v>8</v>
      </c>
      <c r="M3" t="s">
        <v>9</v>
      </c>
      <c r="N3" s="2" t="s">
        <v>11</v>
      </c>
      <c r="O3" t="s">
        <v>12</v>
      </c>
      <c r="P3" t="s">
        <v>14</v>
      </c>
      <c r="Q3" t="s">
        <v>13</v>
      </c>
      <c r="R3" s="4" t="s">
        <v>15</v>
      </c>
      <c r="S3" s="4" t="s">
        <v>16</v>
      </c>
      <c r="AL3" s="2"/>
    </row>
    <row r="4" spans="1:38" x14ac:dyDescent="0.25">
      <c r="A4">
        <v>1</v>
      </c>
      <c r="B4">
        <v>23</v>
      </c>
      <c r="C4">
        <v>125.12</v>
      </c>
      <c r="D4" s="5">
        <f>DecimalPart(C4)</f>
        <v>0.12000000000000455</v>
      </c>
      <c r="E4">
        <f>_xludf.IsEven(C4)</f>
        <v>0</v>
      </c>
      <c r="F4">
        <f>Factorial(A4)</f>
        <v>1</v>
      </c>
      <c r="G4">
        <f>Division(C4,B4)</f>
        <v>5.44</v>
      </c>
      <c r="H4">
        <f>IsDivisibleBy(C4,A4)</f>
        <v>0</v>
      </c>
      <c r="I4" t="b">
        <f>IsPrime(A4)</f>
        <v>0</v>
      </c>
      <c r="J4">
        <f>SquareArea(A4,A5)</f>
        <v>2</v>
      </c>
      <c r="K4" s="2">
        <f>SquarePerimeter(A4,A5)</f>
        <v>6</v>
      </c>
      <c r="L4">
        <f>VolumeCube(A4,A5,A6)</f>
        <v>6</v>
      </c>
      <c r="M4">
        <f>CircleArea(A4)</f>
        <v>3.1415926535897931</v>
      </c>
      <c r="N4">
        <f>CirclePerimeter(A4)</f>
        <v>6.2831853071795862</v>
      </c>
      <c r="O4">
        <f>VolumeSphere(A4)</f>
        <v>4.1887902047863905</v>
      </c>
    </row>
    <row r="5" spans="1:38" x14ac:dyDescent="0.25">
      <c r="A5">
        <v>2</v>
      </c>
      <c r="B5">
        <v>23</v>
      </c>
      <c r="C5">
        <v>1</v>
      </c>
      <c r="D5" s="5">
        <f t="shared" ref="D5:D19" si="0">DecimalPart(C5)</f>
        <v>0</v>
      </c>
      <c r="E5">
        <f t="shared" ref="E5:E19" si="1">_xludf.IsEven(C5)</f>
        <v>0</v>
      </c>
      <c r="F5">
        <f t="shared" ref="F5:F26" si="2">Factorial(A5)</f>
        <v>2</v>
      </c>
      <c r="G5">
        <f t="shared" ref="G5:G26" si="3">Division(C5,B5)</f>
        <v>4.3478260869565216E-2</v>
      </c>
      <c r="H5">
        <f t="shared" ref="H5:H26" si="4">IsDivisibleBy(C5,A5)</f>
        <v>0</v>
      </c>
      <c r="I5" t="b">
        <f t="shared" ref="I5:I26" si="5">IsPrime(A5)</f>
        <v>1</v>
      </c>
      <c r="J5">
        <f t="shared" ref="J5:J25" si="6">SquareArea(A5,A6)</f>
        <v>6</v>
      </c>
      <c r="K5" s="2">
        <f t="shared" ref="K5:K25" si="7">SquarePerimeter(A5,A6)</f>
        <v>10</v>
      </c>
      <c r="L5">
        <f t="shared" ref="L5:L24" si="8">VolumeCube(A5,A6,A7)</f>
        <v>24</v>
      </c>
      <c r="M5">
        <f t="shared" ref="M5:M26" si="9">CircleArea(A5)</f>
        <v>12.566370614359172</v>
      </c>
      <c r="N5">
        <f t="shared" ref="N5:N26" si="10">CirclePerimeter(A5)</f>
        <v>12.566370614359172</v>
      </c>
      <c r="O5">
        <f t="shared" ref="O5:O26" si="11">VolumeSphere(A5)</f>
        <v>33.510321638291124</v>
      </c>
    </row>
    <row r="6" spans="1:38" x14ac:dyDescent="0.25">
      <c r="A6">
        <v>3</v>
      </c>
      <c r="B6">
        <v>23</v>
      </c>
      <c r="C6">
        <v>2.1</v>
      </c>
      <c r="D6" s="5">
        <f t="shared" si="0"/>
        <v>0.10000000000000009</v>
      </c>
      <c r="E6">
        <f t="shared" si="1"/>
        <v>0</v>
      </c>
      <c r="F6">
        <f t="shared" si="2"/>
        <v>6</v>
      </c>
      <c r="G6">
        <f t="shared" si="3"/>
        <v>9.1304347826086957E-2</v>
      </c>
      <c r="H6">
        <f t="shared" si="4"/>
        <v>0</v>
      </c>
      <c r="I6" t="b">
        <f t="shared" si="5"/>
        <v>1</v>
      </c>
      <c r="J6">
        <f t="shared" si="6"/>
        <v>12</v>
      </c>
      <c r="K6" s="2">
        <f t="shared" si="7"/>
        <v>14</v>
      </c>
      <c r="L6">
        <f t="shared" si="8"/>
        <v>60</v>
      </c>
      <c r="M6">
        <f t="shared" si="9"/>
        <v>28.274333882308138</v>
      </c>
      <c r="N6">
        <f t="shared" si="10"/>
        <v>18.849555921538759</v>
      </c>
      <c r="O6">
        <f t="shared" si="11"/>
        <v>113.09733552923255</v>
      </c>
    </row>
    <row r="7" spans="1:38" x14ac:dyDescent="0.25">
      <c r="A7">
        <v>4</v>
      </c>
      <c r="B7">
        <v>23</v>
      </c>
      <c r="C7">
        <v>899</v>
      </c>
      <c r="D7" s="5">
        <f t="shared" si="0"/>
        <v>0</v>
      </c>
      <c r="E7">
        <f t="shared" si="1"/>
        <v>0</v>
      </c>
      <c r="F7">
        <f t="shared" si="2"/>
        <v>24</v>
      </c>
      <c r="G7">
        <f t="shared" si="3"/>
        <v>39.086956521739133</v>
      </c>
      <c r="H7">
        <f t="shared" si="4"/>
        <v>0</v>
      </c>
      <c r="I7" t="b">
        <f t="shared" si="5"/>
        <v>0</v>
      </c>
      <c r="J7">
        <f t="shared" si="6"/>
        <v>20</v>
      </c>
      <c r="K7" s="2">
        <f t="shared" si="7"/>
        <v>18</v>
      </c>
      <c r="L7">
        <f t="shared" si="8"/>
        <v>20</v>
      </c>
      <c r="M7">
        <f t="shared" si="9"/>
        <v>50.26548245743669</v>
      </c>
      <c r="N7">
        <f t="shared" si="10"/>
        <v>25.132741228718345</v>
      </c>
      <c r="O7">
        <f t="shared" si="11"/>
        <v>268.08257310632899</v>
      </c>
    </row>
    <row r="8" spans="1:38" x14ac:dyDescent="0.25">
      <c r="A8">
        <v>5</v>
      </c>
      <c r="B8">
        <v>23</v>
      </c>
      <c r="C8">
        <v>12568</v>
      </c>
      <c r="D8" s="5">
        <f t="shared" si="0"/>
        <v>0</v>
      </c>
      <c r="E8">
        <f t="shared" si="1"/>
        <v>1</v>
      </c>
      <c r="F8">
        <f t="shared" si="2"/>
        <v>120</v>
      </c>
      <c r="G8">
        <f t="shared" si="3"/>
        <v>546.43478260869563</v>
      </c>
      <c r="H8">
        <f t="shared" si="4"/>
        <v>0</v>
      </c>
      <c r="I8" t="b">
        <f t="shared" si="5"/>
        <v>1</v>
      </c>
      <c r="J8">
        <f t="shared" si="6"/>
        <v>5</v>
      </c>
      <c r="K8" s="2">
        <f t="shared" si="7"/>
        <v>12</v>
      </c>
      <c r="L8">
        <f t="shared" si="8"/>
        <v>10</v>
      </c>
      <c r="M8">
        <f t="shared" si="9"/>
        <v>78.539816339744831</v>
      </c>
      <c r="N8">
        <f t="shared" si="10"/>
        <v>31.415926535897931</v>
      </c>
      <c r="O8">
        <f t="shared" si="11"/>
        <v>523.59877559829886</v>
      </c>
    </row>
    <row r="9" spans="1:38" x14ac:dyDescent="0.25">
      <c r="A9">
        <v>1</v>
      </c>
      <c r="B9">
        <v>23</v>
      </c>
      <c r="C9">
        <v>124</v>
      </c>
      <c r="D9" s="5">
        <f t="shared" si="0"/>
        <v>0</v>
      </c>
      <c r="E9">
        <f t="shared" si="1"/>
        <v>1</v>
      </c>
      <c r="F9">
        <f t="shared" si="2"/>
        <v>1</v>
      </c>
      <c r="G9">
        <f t="shared" si="3"/>
        <v>5.3913043478260869</v>
      </c>
      <c r="H9">
        <f t="shared" si="4"/>
        <v>1</v>
      </c>
      <c r="I9" t="b">
        <f t="shared" si="5"/>
        <v>0</v>
      </c>
      <c r="J9">
        <f t="shared" si="6"/>
        <v>2</v>
      </c>
      <c r="K9" s="2">
        <f t="shared" si="7"/>
        <v>6</v>
      </c>
      <c r="L9">
        <f t="shared" si="8"/>
        <v>6</v>
      </c>
      <c r="M9">
        <f t="shared" si="9"/>
        <v>3.1415926535897931</v>
      </c>
      <c r="N9">
        <f t="shared" si="10"/>
        <v>6.2831853071795862</v>
      </c>
      <c r="O9">
        <f t="shared" si="11"/>
        <v>4.1887902047863905</v>
      </c>
    </row>
    <row r="10" spans="1:38" x14ac:dyDescent="0.25">
      <c r="A10">
        <v>2</v>
      </c>
      <c r="B10">
        <v>23</v>
      </c>
      <c r="C10">
        <v>125.56</v>
      </c>
      <c r="D10" s="5">
        <f t="shared" si="0"/>
        <v>0.56000000000000227</v>
      </c>
      <c r="E10">
        <f t="shared" si="1"/>
        <v>0</v>
      </c>
      <c r="F10">
        <f t="shared" si="2"/>
        <v>2</v>
      </c>
      <c r="G10">
        <f t="shared" si="3"/>
        <v>5.4591304347826091</v>
      </c>
      <c r="H10">
        <f t="shared" si="4"/>
        <v>0</v>
      </c>
      <c r="I10" t="b">
        <f t="shared" si="5"/>
        <v>1</v>
      </c>
      <c r="J10">
        <f t="shared" si="6"/>
        <v>6</v>
      </c>
      <c r="K10" s="2">
        <f t="shared" si="7"/>
        <v>10</v>
      </c>
      <c r="L10">
        <f t="shared" si="8"/>
        <v>24</v>
      </c>
      <c r="M10">
        <f t="shared" si="9"/>
        <v>12.566370614359172</v>
      </c>
      <c r="N10">
        <f t="shared" si="10"/>
        <v>12.566370614359172</v>
      </c>
      <c r="O10">
        <f t="shared" si="11"/>
        <v>33.510321638291124</v>
      </c>
    </row>
    <row r="11" spans="1:38" x14ac:dyDescent="0.25">
      <c r="A11">
        <v>3</v>
      </c>
      <c r="B11">
        <v>23</v>
      </c>
      <c r="C11">
        <v>2.25</v>
      </c>
      <c r="D11" s="5">
        <f t="shared" si="0"/>
        <v>0.25</v>
      </c>
      <c r="E11">
        <f t="shared" si="1"/>
        <v>0</v>
      </c>
      <c r="F11">
        <f t="shared" si="2"/>
        <v>6</v>
      </c>
      <c r="G11">
        <f t="shared" si="3"/>
        <v>9.7826086956521743E-2</v>
      </c>
      <c r="H11">
        <f t="shared" si="4"/>
        <v>0</v>
      </c>
      <c r="I11" t="b">
        <f t="shared" si="5"/>
        <v>1</v>
      </c>
      <c r="J11">
        <f t="shared" si="6"/>
        <v>12</v>
      </c>
      <c r="K11" s="2">
        <f t="shared" si="7"/>
        <v>14</v>
      </c>
      <c r="L11">
        <f t="shared" si="8"/>
        <v>60</v>
      </c>
      <c r="M11">
        <f t="shared" si="9"/>
        <v>28.274333882308138</v>
      </c>
      <c r="N11">
        <f t="shared" si="10"/>
        <v>18.849555921538759</v>
      </c>
      <c r="O11">
        <f t="shared" si="11"/>
        <v>113.09733552923255</v>
      </c>
    </row>
    <row r="12" spans="1:38" x14ac:dyDescent="0.25">
      <c r="A12">
        <v>4</v>
      </c>
      <c r="B12">
        <v>0</v>
      </c>
      <c r="C12">
        <v>2.2000000000000002</v>
      </c>
      <c r="D12" s="5">
        <f t="shared" si="0"/>
        <v>0.20000000000000018</v>
      </c>
      <c r="E12">
        <f t="shared" si="1"/>
        <v>0</v>
      </c>
      <c r="F12">
        <f t="shared" si="2"/>
        <v>24</v>
      </c>
      <c r="G12" t="str">
        <f t="shared" si="3"/>
        <v/>
      </c>
      <c r="H12">
        <f t="shared" si="4"/>
        <v>0</v>
      </c>
      <c r="I12" t="b">
        <f t="shared" si="5"/>
        <v>0</v>
      </c>
      <c r="J12">
        <f t="shared" si="6"/>
        <v>20</v>
      </c>
      <c r="K12" s="2">
        <f t="shared" si="7"/>
        <v>18</v>
      </c>
      <c r="L12">
        <f t="shared" si="8"/>
        <v>120</v>
      </c>
      <c r="M12">
        <f t="shared" si="9"/>
        <v>50.26548245743669</v>
      </c>
      <c r="N12">
        <f t="shared" si="10"/>
        <v>25.132741228718345</v>
      </c>
      <c r="O12">
        <f t="shared" si="11"/>
        <v>268.08257310632899</v>
      </c>
    </row>
    <row r="13" spans="1:38" x14ac:dyDescent="0.25">
      <c r="A13">
        <v>5</v>
      </c>
      <c r="C13">
        <v>1248</v>
      </c>
      <c r="D13" s="5">
        <f t="shared" si="0"/>
        <v>0</v>
      </c>
      <c r="E13">
        <f t="shared" si="1"/>
        <v>1</v>
      </c>
      <c r="F13">
        <f t="shared" si="2"/>
        <v>120</v>
      </c>
      <c r="G13" t="str">
        <f t="shared" si="3"/>
        <v/>
      </c>
      <c r="H13">
        <f t="shared" si="4"/>
        <v>0</v>
      </c>
      <c r="I13" t="b">
        <f t="shared" si="5"/>
        <v>1</v>
      </c>
      <c r="J13">
        <f t="shared" si="6"/>
        <v>30</v>
      </c>
      <c r="K13" s="2">
        <f t="shared" si="7"/>
        <v>22</v>
      </c>
      <c r="L13">
        <f t="shared" si="8"/>
        <v>210</v>
      </c>
      <c r="M13">
        <f t="shared" si="9"/>
        <v>78.539816339744831</v>
      </c>
      <c r="N13">
        <f t="shared" si="10"/>
        <v>31.415926535897931</v>
      </c>
      <c r="O13">
        <f t="shared" si="11"/>
        <v>523.59877559829886</v>
      </c>
    </row>
    <row r="14" spans="1:38" x14ac:dyDescent="0.25">
      <c r="A14">
        <v>6</v>
      </c>
      <c r="B14">
        <v>0</v>
      </c>
      <c r="C14">
        <v>-1456</v>
      </c>
      <c r="D14" s="5">
        <f t="shared" si="0"/>
        <v>0</v>
      </c>
      <c r="E14">
        <f t="shared" si="1"/>
        <v>1</v>
      </c>
      <c r="F14">
        <f t="shared" si="2"/>
        <v>720</v>
      </c>
      <c r="G14" t="str">
        <f t="shared" si="3"/>
        <v/>
      </c>
      <c r="H14">
        <f t="shared" si="4"/>
        <v>0</v>
      </c>
      <c r="I14" t="b">
        <f t="shared" si="5"/>
        <v>0</v>
      </c>
      <c r="J14">
        <f t="shared" si="6"/>
        <v>42</v>
      </c>
      <c r="K14" s="2">
        <f t="shared" si="7"/>
        <v>26</v>
      </c>
      <c r="L14">
        <f t="shared" si="8"/>
        <v>336</v>
      </c>
      <c r="M14">
        <f t="shared" si="9"/>
        <v>113.09733552923255</v>
      </c>
      <c r="N14">
        <f t="shared" si="10"/>
        <v>37.699111843077517</v>
      </c>
      <c r="O14">
        <f t="shared" si="11"/>
        <v>904.77868423386042</v>
      </c>
    </row>
    <row r="15" spans="1:38" x14ac:dyDescent="0.25">
      <c r="A15">
        <v>7</v>
      </c>
      <c r="B15">
        <v>12</v>
      </c>
      <c r="C15">
        <v>-14.23</v>
      </c>
      <c r="D15" s="5">
        <f t="shared" si="0"/>
        <v>-0.23000000000000043</v>
      </c>
      <c r="E15">
        <f t="shared" si="1"/>
        <v>0</v>
      </c>
      <c r="F15">
        <f t="shared" si="2"/>
        <v>5040</v>
      </c>
      <c r="G15">
        <f t="shared" si="3"/>
        <v>-1.1858333333333333</v>
      </c>
      <c r="H15">
        <f t="shared" si="4"/>
        <v>0</v>
      </c>
      <c r="I15" t="b">
        <f t="shared" si="5"/>
        <v>1</v>
      </c>
      <c r="J15">
        <f t="shared" si="6"/>
        <v>56</v>
      </c>
      <c r="K15" s="2">
        <f t="shared" si="7"/>
        <v>30</v>
      </c>
      <c r="L15">
        <f t="shared" si="8"/>
        <v>504</v>
      </c>
      <c r="M15">
        <f t="shared" si="9"/>
        <v>153.93804002589985</v>
      </c>
      <c r="N15">
        <f t="shared" si="10"/>
        <v>43.982297150257104</v>
      </c>
      <c r="O15">
        <f t="shared" si="11"/>
        <v>1436.7550402417321</v>
      </c>
    </row>
    <row r="16" spans="1:38" x14ac:dyDescent="0.25">
      <c r="A16">
        <v>8</v>
      </c>
      <c r="B16">
        <v>12</v>
      </c>
      <c r="C16">
        <v>-1</v>
      </c>
      <c r="D16" s="5">
        <f t="shared" si="0"/>
        <v>0</v>
      </c>
      <c r="E16">
        <f t="shared" si="1"/>
        <v>0</v>
      </c>
      <c r="F16">
        <f t="shared" si="2"/>
        <v>40320</v>
      </c>
      <c r="G16">
        <f t="shared" si="3"/>
        <v>-8.3333333333333329E-2</v>
      </c>
      <c r="H16">
        <f t="shared" si="4"/>
        <v>0</v>
      </c>
      <c r="I16" t="b">
        <f t="shared" si="5"/>
        <v>0</v>
      </c>
      <c r="J16">
        <f t="shared" si="6"/>
        <v>72</v>
      </c>
      <c r="K16" s="2">
        <f t="shared" si="7"/>
        <v>34</v>
      </c>
      <c r="L16">
        <f t="shared" si="8"/>
        <v>720</v>
      </c>
      <c r="M16">
        <f t="shared" si="9"/>
        <v>201.06192982974676</v>
      </c>
      <c r="N16">
        <f t="shared" si="10"/>
        <v>50.26548245743669</v>
      </c>
      <c r="O16">
        <f t="shared" si="11"/>
        <v>2144.6605848506319</v>
      </c>
    </row>
    <row r="17" spans="1:19" x14ac:dyDescent="0.25">
      <c r="A17">
        <v>9</v>
      </c>
      <c r="B17">
        <v>12</v>
      </c>
      <c r="C17">
        <v>-9</v>
      </c>
      <c r="D17" s="5">
        <f t="shared" si="0"/>
        <v>0</v>
      </c>
      <c r="E17">
        <f t="shared" si="1"/>
        <v>0</v>
      </c>
      <c r="F17">
        <f t="shared" si="2"/>
        <v>362880</v>
      </c>
      <c r="G17">
        <f t="shared" si="3"/>
        <v>-0.75</v>
      </c>
      <c r="H17">
        <f t="shared" si="4"/>
        <v>1</v>
      </c>
      <c r="I17" t="b">
        <f t="shared" si="5"/>
        <v>0</v>
      </c>
      <c r="J17">
        <f t="shared" si="6"/>
        <v>90</v>
      </c>
      <c r="K17" s="2">
        <f t="shared" si="7"/>
        <v>38</v>
      </c>
      <c r="L17">
        <f t="shared" si="8"/>
        <v>990</v>
      </c>
      <c r="M17">
        <f t="shared" si="9"/>
        <v>254.46900494077323</v>
      </c>
      <c r="N17">
        <f t="shared" si="10"/>
        <v>56.548667764616276</v>
      </c>
      <c r="O17">
        <f t="shared" si="11"/>
        <v>3053.6280592892786</v>
      </c>
    </row>
    <row r="18" spans="1:19" x14ac:dyDescent="0.25">
      <c r="A18">
        <v>10</v>
      </c>
      <c r="B18">
        <v>12</v>
      </c>
      <c r="C18">
        <v>-256000</v>
      </c>
      <c r="D18" s="5">
        <f t="shared" si="0"/>
        <v>0</v>
      </c>
      <c r="E18">
        <f t="shared" si="1"/>
        <v>1</v>
      </c>
      <c r="F18">
        <f t="shared" si="2"/>
        <v>3628800</v>
      </c>
      <c r="G18">
        <f t="shared" si="3"/>
        <v>-21333.333333333332</v>
      </c>
      <c r="H18">
        <f t="shared" si="4"/>
        <v>1</v>
      </c>
      <c r="I18" t="b">
        <f t="shared" si="5"/>
        <v>0</v>
      </c>
      <c r="J18">
        <f t="shared" si="6"/>
        <v>110</v>
      </c>
      <c r="K18" s="2">
        <f t="shared" si="7"/>
        <v>42</v>
      </c>
      <c r="L18">
        <f t="shared" si="8"/>
        <v>1320</v>
      </c>
      <c r="M18">
        <f t="shared" si="9"/>
        <v>314.15926535897933</v>
      </c>
      <c r="N18">
        <f t="shared" si="10"/>
        <v>62.831853071795862</v>
      </c>
      <c r="O18">
        <f t="shared" si="11"/>
        <v>4188.7902047863909</v>
      </c>
    </row>
    <row r="19" spans="1:19" x14ac:dyDescent="0.25">
      <c r="A19">
        <v>11</v>
      </c>
      <c r="B19">
        <v>12</v>
      </c>
      <c r="C19">
        <v>-25.698</v>
      </c>
      <c r="D19" s="5">
        <f t="shared" si="0"/>
        <v>-0.6980000000000004</v>
      </c>
      <c r="E19">
        <f t="shared" si="1"/>
        <v>0</v>
      </c>
      <c r="F19">
        <f t="shared" si="2"/>
        <v>39916800</v>
      </c>
      <c r="G19">
        <f t="shared" si="3"/>
        <v>-2.1415000000000002</v>
      </c>
      <c r="H19">
        <f t="shared" si="4"/>
        <v>0</v>
      </c>
      <c r="I19" t="b">
        <f t="shared" si="5"/>
        <v>1</v>
      </c>
      <c r="J19">
        <f t="shared" si="6"/>
        <v>132</v>
      </c>
      <c r="K19" s="2">
        <f t="shared" si="7"/>
        <v>46</v>
      </c>
      <c r="L19">
        <f t="shared" si="8"/>
        <v>1716</v>
      </c>
      <c r="M19">
        <f t="shared" si="9"/>
        <v>380.13271108436498</v>
      </c>
      <c r="N19">
        <f t="shared" si="10"/>
        <v>69.115038378975441</v>
      </c>
      <c r="O19">
        <f t="shared" si="11"/>
        <v>5575.2797625706853</v>
      </c>
    </row>
    <row r="20" spans="1:19" x14ac:dyDescent="0.25">
      <c r="A20">
        <v>12</v>
      </c>
      <c r="C20">
        <v>12</v>
      </c>
      <c r="F20">
        <f t="shared" si="2"/>
        <v>479001600</v>
      </c>
      <c r="G20" t="str">
        <f t="shared" si="3"/>
        <v/>
      </c>
      <c r="H20">
        <f t="shared" si="4"/>
        <v>1</v>
      </c>
      <c r="I20" t="b">
        <f t="shared" si="5"/>
        <v>0</v>
      </c>
      <c r="J20">
        <f t="shared" si="6"/>
        <v>156</v>
      </c>
      <c r="K20" s="2">
        <f t="shared" si="7"/>
        <v>50</v>
      </c>
      <c r="L20">
        <f t="shared" si="8"/>
        <v>2184</v>
      </c>
      <c r="M20">
        <f t="shared" si="9"/>
        <v>452.38934211693021</v>
      </c>
      <c r="N20">
        <f t="shared" si="10"/>
        <v>75.398223686155035</v>
      </c>
      <c r="O20">
        <f t="shared" si="11"/>
        <v>7238.2294738708833</v>
      </c>
    </row>
    <row r="21" spans="1:19" x14ac:dyDescent="0.25">
      <c r="A21">
        <v>13</v>
      </c>
      <c r="C21">
        <v>3</v>
      </c>
      <c r="F21">
        <f t="shared" si="2"/>
        <v>6227020800</v>
      </c>
      <c r="G21" t="str">
        <f t="shared" si="3"/>
        <v/>
      </c>
      <c r="H21">
        <f t="shared" si="4"/>
        <v>0</v>
      </c>
      <c r="I21" t="b">
        <f t="shared" si="5"/>
        <v>1</v>
      </c>
      <c r="J21">
        <f t="shared" si="6"/>
        <v>182</v>
      </c>
      <c r="K21" s="2">
        <f t="shared" si="7"/>
        <v>54</v>
      </c>
      <c r="L21">
        <f t="shared" si="8"/>
        <v>2730</v>
      </c>
      <c r="M21">
        <f t="shared" si="9"/>
        <v>530.92915845667505</v>
      </c>
      <c r="N21">
        <f t="shared" si="10"/>
        <v>81.681408993334628</v>
      </c>
      <c r="O21">
        <f t="shared" si="11"/>
        <v>9202.7720799157014</v>
      </c>
    </row>
    <row r="22" spans="1:19" x14ac:dyDescent="0.25">
      <c r="A22">
        <v>14</v>
      </c>
      <c r="C22">
        <v>5</v>
      </c>
      <c r="F22">
        <f t="shared" si="2"/>
        <v>87178291200</v>
      </c>
      <c r="G22" t="str">
        <f t="shared" si="3"/>
        <v/>
      </c>
      <c r="H22">
        <f t="shared" si="4"/>
        <v>0</v>
      </c>
      <c r="I22" t="b">
        <f t="shared" si="5"/>
        <v>0</v>
      </c>
      <c r="J22">
        <f t="shared" si="6"/>
        <v>210</v>
      </c>
      <c r="K22" s="2">
        <f t="shared" si="7"/>
        <v>58</v>
      </c>
      <c r="L22">
        <f t="shared" si="8"/>
        <v>630</v>
      </c>
      <c r="M22">
        <f t="shared" si="9"/>
        <v>615.75216010359941</v>
      </c>
      <c r="N22">
        <f t="shared" si="10"/>
        <v>87.964594300514207</v>
      </c>
      <c r="O22">
        <f t="shared" si="11"/>
        <v>11494.040321933857</v>
      </c>
    </row>
    <row r="23" spans="1:19" x14ac:dyDescent="0.25">
      <c r="A23">
        <v>15</v>
      </c>
      <c r="C23">
        <v>2</v>
      </c>
      <c r="F23">
        <f t="shared" si="2"/>
        <v>1307674368000</v>
      </c>
      <c r="G23" t="str">
        <f t="shared" si="3"/>
        <v/>
      </c>
      <c r="H23">
        <f t="shared" si="4"/>
        <v>0</v>
      </c>
      <c r="I23" t="b">
        <f t="shared" si="5"/>
        <v>0</v>
      </c>
      <c r="J23">
        <f t="shared" si="6"/>
        <v>45</v>
      </c>
      <c r="K23" s="2">
        <f t="shared" si="7"/>
        <v>36</v>
      </c>
      <c r="L23">
        <f t="shared" si="8"/>
        <v>90</v>
      </c>
      <c r="M23">
        <f t="shared" si="9"/>
        <v>706.85834705770344</v>
      </c>
      <c r="N23">
        <f t="shared" si="10"/>
        <v>94.247779607693786</v>
      </c>
      <c r="O23">
        <f t="shared" si="11"/>
        <v>14137.16694115407</v>
      </c>
    </row>
    <row r="24" spans="1:19" x14ac:dyDescent="0.25">
      <c r="A24">
        <v>3</v>
      </c>
      <c r="C24">
        <v>6</v>
      </c>
      <c r="F24">
        <f t="shared" si="2"/>
        <v>6</v>
      </c>
      <c r="G24" t="str">
        <f t="shared" si="3"/>
        <v/>
      </c>
      <c r="H24">
        <f t="shared" si="4"/>
        <v>1</v>
      </c>
      <c r="I24" t="b">
        <f t="shared" si="5"/>
        <v>1</v>
      </c>
      <c r="J24">
        <f t="shared" si="6"/>
        <v>6</v>
      </c>
      <c r="K24" s="2">
        <f t="shared" si="7"/>
        <v>10</v>
      </c>
      <c r="L24">
        <f t="shared" si="8"/>
        <v>12</v>
      </c>
      <c r="M24">
        <f t="shared" si="9"/>
        <v>28.274333882308138</v>
      </c>
      <c r="N24">
        <f t="shared" si="10"/>
        <v>18.849555921538759</v>
      </c>
      <c r="O24">
        <f t="shared" si="11"/>
        <v>113.09733552923255</v>
      </c>
    </row>
    <row r="25" spans="1:19" x14ac:dyDescent="0.25">
      <c r="A25">
        <v>2</v>
      </c>
      <c r="C25">
        <v>6</v>
      </c>
      <c r="F25">
        <f t="shared" si="2"/>
        <v>2</v>
      </c>
      <c r="G25" t="str">
        <f t="shared" si="3"/>
        <v/>
      </c>
      <c r="H25">
        <f t="shared" si="4"/>
        <v>1</v>
      </c>
      <c r="I25" t="b">
        <f t="shared" si="5"/>
        <v>1</v>
      </c>
      <c r="J25">
        <f t="shared" si="6"/>
        <v>4</v>
      </c>
      <c r="K25" s="2">
        <f t="shared" si="7"/>
        <v>8</v>
      </c>
      <c r="M25">
        <f t="shared" si="9"/>
        <v>12.566370614359172</v>
      </c>
      <c r="N25">
        <f t="shared" si="10"/>
        <v>12.566370614359172</v>
      </c>
      <c r="O25">
        <f t="shared" si="11"/>
        <v>33.510321638291124</v>
      </c>
    </row>
    <row r="26" spans="1:19" x14ac:dyDescent="0.25">
      <c r="A26">
        <v>2</v>
      </c>
      <c r="C26">
        <v>7</v>
      </c>
      <c r="F26">
        <f t="shared" si="2"/>
        <v>2</v>
      </c>
      <c r="G26" t="str">
        <f t="shared" si="3"/>
        <v/>
      </c>
      <c r="H26">
        <f t="shared" si="4"/>
        <v>0</v>
      </c>
      <c r="I26" t="b">
        <f t="shared" si="5"/>
        <v>1</v>
      </c>
      <c r="M26">
        <f t="shared" si="9"/>
        <v>12.566370614359172</v>
      </c>
      <c r="N26">
        <f t="shared" si="10"/>
        <v>12.566370614359172</v>
      </c>
      <c r="O26">
        <f t="shared" si="11"/>
        <v>33.510321638291124</v>
      </c>
    </row>
    <row r="27" spans="1:19" x14ac:dyDescent="0.25">
      <c r="A27">
        <v>100</v>
      </c>
      <c r="P27">
        <f>ToKm(A27)</f>
        <v>160.93440000000001</v>
      </c>
      <c r="Q27">
        <f>ToMile(A27)</f>
        <v>62.137119223733393</v>
      </c>
    </row>
    <row r="28" spans="1:19" x14ac:dyDescent="0.25">
      <c r="A28">
        <v>200</v>
      </c>
      <c r="P28">
        <f t="shared" ref="P28:P31" si="12">ToKm(A28)</f>
        <v>321.86880000000002</v>
      </c>
      <c r="Q28">
        <f t="shared" ref="Q28:Q31" si="13">ToMile(A28)</f>
        <v>124.27423844746679</v>
      </c>
    </row>
    <row r="29" spans="1:19" x14ac:dyDescent="0.25">
      <c r="A29">
        <v>1000</v>
      </c>
      <c r="P29">
        <f t="shared" si="12"/>
        <v>1609.3440000000001</v>
      </c>
      <c r="Q29">
        <f t="shared" si="13"/>
        <v>621.37119223733396</v>
      </c>
    </row>
    <row r="30" spans="1:19" x14ac:dyDescent="0.25">
      <c r="A30">
        <v>150</v>
      </c>
      <c r="P30">
        <f t="shared" si="12"/>
        <v>241.40160000000003</v>
      </c>
      <c r="Q30">
        <f t="shared" si="13"/>
        <v>93.205678835600096</v>
      </c>
    </row>
    <row r="31" spans="1:19" x14ac:dyDescent="0.25">
      <c r="A31">
        <v>23</v>
      </c>
      <c r="P31">
        <f t="shared" si="12"/>
        <v>37.014912000000002</v>
      </c>
      <c r="Q31">
        <f t="shared" si="13"/>
        <v>14.291537421458681</v>
      </c>
    </row>
    <row r="32" spans="1:19" x14ac:dyDescent="0.25">
      <c r="A32">
        <v>-10</v>
      </c>
      <c r="R32" s="4">
        <f>ToCelcius(A32)</f>
        <v>-75.599999999999994</v>
      </c>
      <c r="S32" s="4">
        <f>ToFahr(A32)</f>
        <v>26.444444444444443</v>
      </c>
    </row>
    <row r="33" spans="1:19" x14ac:dyDescent="0.25">
      <c r="A33">
        <v>-1</v>
      </c>
      <c r="R33" s="4">
        <f t="shared" ref="R33:R42" si="14">ToCelcius(A33)</f>
        <v>-18.333333333333332</v>
      </c>
      <c r="S33" s="4">
        <f t="shared" ref="S33:S42" si="15">ToFahr(A33)</f>
        <v>30.2</v>
      </c>
    </row>
    <row r="34" spans="1:19" x14ac:dyDescent="0.25">
      <c r="A34">
        <v>0</v>
      </c>
      <c r="R34" s="4">
        <f t="shared" si="14"/>
        <v>-17.777777777777779</v>
      </c>
      <c r="S34" s="4">
        <f t="shared" si="15"/>
        <v>32</v>
      </c>
    </row>
    <row r="35" spans="1:19" x14ac:dyDescent="0.25">
      <c r="A35">
        <v>1</v>
      </c>
      <c r="R35" s="4">
        <f t="shared" si="14"/>
        <v>-17.222222222222221</v>
      </c>
      <c r="S35" s="4">
        <f t="shared" si="15"/>
        <v>33.799999999999997</v>
      </c>
    </row>
    <row r="36" spans="1:19" x14ac:dyDescent="0.25">
      <c r="A36">
        <v>-2</v>
      </c>
      <c r="R36" s="4">
        <f t="shared" si="14"/>
        <v>-18.888888888888889</v>
      </c>
      <c r="S36" s="4">
        <f t="shared" si="15"/>
        <v>28.4</v>
      </c>
    </row>
    <row r="37" spans="1:19" x14ac:dyDescent="0.25">
      <c r="A37">
        <v>20</v>
      </c>
      <c r="R37" s="4">
        <f t="shared" si="14"/>
        <v>-6.6666666666666661</v>
      </c>
      <c r="S37" s="4">
        <f t="shared" si="15"/>
        <v>68</v>
      </c>
    </row>
    <row r="38" spans="1:19" x14ac:dyDescent="0.25">
      <c r="A38">
        <v>-20</v>
      </c>
      <c r="R38" s="4">
        <f t="shared" si="14"/>
        <v>-28.888888888888889</v>
      </c>
      <c r="S38" s="4">
        <f t="shared" si="15"/>
        <v>-4.0000000000000009</v>
      </c>
    </row>
    <row r="39" spans="1:19" x14ac:dyDescent="0.25">
      <c r="A39">
        <v>30</v>
      </c>
      <c r="R39" s="4">
        <f t="shared" si="14"/>
        <v>-1.1111111111111112</v>
      </c>
      <c r="S39" s="4">
        <f t="shared" si="15"/>
        <v>86</v>
      </c>
    </row>
    <row r="40" spans="1:19" x14ac:dyDescent="0.25">
      <c r="A40">
        <v>-5</v>
      </c>
      <c r="R40" s="4">
        <f t="shared" si="14"/>
        <v>-20.555555555555554</v>
      </c>
      <c r="S40" s="4">
        <f t="shared" si="15"/>
        <v>23</v>
      </c>
    </row>
    <row r="41" spans="1:19" x14ac:dyDescent="0.25">
      <c r="A41">
        <v>50</v>
      </c>
      <c r="R41" s="4">
        <f t="shared" si="14"/>
        <v>10</v>
      </c>
      <c r="S41" s="4">
        <f t="shared" si="15"/>
        <v>122</v>
      </c>
    </row>
    <row r="42" spans="1:19" x14ac:dyDescent="0.25">
      <c r="A42">
        <v>70</v>
      </c>
      <c r="R42" s="4">
        <f t="shared" si="14"/>
        <v>21.111111111111111</v>
      </c>
      <c r="S42" s="4">
        <f t="shared" si="15"/>
        <v>158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Math Functions Examples</vt:lpstr>
    </vt:vector>
  </TitlesOfParts>
  <Company>Euro Information client principal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DUPONT Nicolas</dc:creator>
  <cp:lastModifiedBy>DUPONT Nicolas</cp:lastModifiedBy>
  <dcterms:created xsi:type="dcterms:W3CDTF">2017-04-06T09:44:42Z</dcterms:created>
  <dcterms:modified xsi:type="dcterms:W3CDTF">2017-05-03T14:10:24Z</dcterms:modified>
</cp:coreProperties>
</file>